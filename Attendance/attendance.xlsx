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Attendance" sheetId="1" r:id="rId1"/>
    <sheet name="Rule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cols>
    <col min="1" max="1" width="13.83203125" customWidth="1"/>
    <col min="2" max="2" width="42.83203125" customWidth="1"/>
    <col min="3" max="3" width="17.83203125" customWidth="1"/>
    <col min="4" max="4" width="18.83203125" customWidth="1"/>
    <col min="5" max="5" width="13.83203125" customWidth="1"/>
    <col min="6" max="6" width="13.83203125" customWidth="1"/>
    <col min="7" max="7" width="11.83203125" customWidth="1"/>
    <col min="8" max="8" width="20.83203125" customWidth="1"/>
  </cols>
  <sheetData>
    <row r="1">
      <c r="A1" t="str">
        <v>Household ID</v>
      </c>
      <c r="B1" t="str">
        <v>Representative Name</v>
      </c>
      <c r="C1" t="str">
        <v>Shifts Completed</v>
      </c>
      <c r="D1" t="str">
        <v>Hardship Adjustment</v>
      </c>
      <c r="E1" t="str">
        <v>Points Earned</v>
      </c>
      <c r="F1" t="str">
        <v>Annual Target</v>
      </c>
      <c r="G1" t="str">
        <v>Grant Rate</v>
      </c>
      <c r="H1" t="str">
        <v>Standing</v>
      </c>
    </row>
    <row r="2">
      <c r="A2" t="str">
        <v>HH-001</v>
      </c>
      <c r="B2" t="str">
        <v>MATEO ASUMEN BOBILES</v>
      </c>
      <c r="C2">
        <v>0</v>
      </c>
      <c r="D2" t="str">
        <v>Standard</v>
      </c>
      <c r="E2">
        <f>C2*8</f>
      </c>
      <c r="F2">
        <v>32</v>
      </c>
      <c r="G2">
        <f>TEXT(MIN(1,E2/F2),"0.0%")</f>
      </c>
      <c r="H2">
        <f>IF(E2/F2&gt;=1,"In Good Standing",IF(E2/F2&gt;=0.5,"On Track",IF(E2/F2&gt;=0.25,"Needs Support","Needs Intervention")))</f>
      </c>
    </row>
    <row r="3">
      <c r="A3" t="str">
        <v>HH-002</v>
      </c>
      <c r="B3" t="str">
        <v>JUNRISH EBUENGA CAONES</v>
      </c>
      <c r="C3">
        <v>0</v>
      </c>
      <c r="D3" t="str">
        <v>Solo Parent</v>
      </c>
      <c r="E3">
        <f>C3*8</f>
      </c>
      <c r="F3">
        <v>24</v>
      </c>
      <c r="G3">
        <f>TEXT(MIN(1,E3/F3),"0.0%")</f>
      </c>
      <c r="H3">
        <f>IF(E3/F3&gt;=1,"In Good Standing",IF(E3/F3&gt;=0.5,"On Track",IF(E3/F3&gt;=0.25,"Needs Support","Needs Intervention")))</f>
      </c>
    </row>
    <row r="4">
      <c r="A4" t="str">
        <v>HH-003</v>
      </c>
      <c r="B4" t="str">
        <v>RICHLYN LANDICHO CAPULO</v>
      </c>
      <c r="C4">
        <v>0</v>
      </c>
      <c r="D4" t="str">
        <v>Standard</v>
      </c>
      <c r="E4">
        <f>C4*8</f>
      </c>
      <c r="F4">
        <v>32</v>
      </c>
      <c r="G4">
        <f>TEXT(MIN(1,E4/F4),"0.0%")</f>
      </c>
      <c r="H4">
        <f>IF(E4/F4&gt;=1,"In Good Standing",IF(E4/F4&gt;=0.5,"On Track",IF(E4/F4&gt;=0.25,"Needs Support","Needs Intervention")))</f>
      </c>
    </row>
    <row r="5">
      <c r="A5" t="str">
        <v>HH-004</v>
      </c>
      <c r="B5" t="str">
        <v>FRANCIS ALLESANDRO CASPE CUSTODIO</v>
      </c>
      <c r="C5">
        <v>0</v>
      </c>
      <c r="D5" t="str">
        <v>Standard</v>
      </c>
      <c r="E5">
        <f>C5*8</f>
      </c>
      <c r="F5">
        <v>32</v>
      </c>
      <c r="G5">
        <f>TEXT(MIN(1,E5/F5),"0.0%")</f>
      </c>
      <c r="H5">
        <f>IF(E5/F5&gt;=1,"In Good Standing",IF(E5/F5&gt;=0.5,"On Track",IF(E5/F5&gt;=0.25,"Needs Support","Needs Intervention")))</f>
      </c>
    </row>
    <row r="6">
      <c r="A6" t="str">
        <v>HH-005</v>
      </c>
      <c r="B6" t="str">
        <v>REYNIEL ALLEN ROBLES ESCUETA</v>
      </c>
      <c r="C6">
        <v>0</v>
      </c>
      <c r="D6" t="str">
        <v>OFW</v>
      </c>
      <c r="E6">
        <f>C6*8</f>
      </c>
      <c r="F6">
        <v>24</v>
      </c>
      <c r="G6">
        <f>TEXT(MIN(1,E6/F6),"0.0%")</f>
      </c>
      <c r="H6">
        <f>IF(E6/F6&gt;=1,"In Good Standing",IF(E6/F6&gt;=0.5,"On Track",IF(E6/F6&gt;=0.25,"Needs Support","Needs Intervention")))</f>
      </c>
    </row>
    <row r="7">
      <c r="A7" t="str">
        <v>HH-006</v>
      </c>
      <c r="B7" t="str">
        <v>JOHN CARLO BARRUGA LAZANAS</v>
      </c>
      <c r="C7">
        <v>0</v>
      </c>
      <c r="D7" t="str">
        <v>Standard</v>
      </c>
      <c r="E7">
        <f>C7*8</f>
      </c>
      <c r="F7">
        <v>32</v>
      </c>
      <c r="G7">
        <f>TEXT(MIN(1,E7/F7),"0.0%")</f>
      </c>
      <c r="H7">
        <f>IF(E7/F7&gt;=1,"In Good Standing",IF(E7/F7&gt;=0.5,"On Track",IF(E7/F7&gt;=0.25,"Needs Support","Needs Intervention")))</f>
      </c>
    </row>
    <row r="8">
      <c r="A8" t="str">
        <v>HH-007</v>
      </c>
      <c r="B8" t="str">
        <v>PHILIP ANDREW CABALLERO LOGRONIO</v>
      </c>
      <c r="C8">
        <v>0</v>
      </c>
      <c r="D8" t="str">
        <v>Standard</v>
      </c>
      <c r="E8">
        <f>C8*8</f>
      </c>
      <c r="F8">
        <v>32</v>
      </c>
      <c r="G8">
        <f>TEXT(MIN(1,E8/F8),"0.0%")</f>
      </c>
      <c r="H8">
        <f>IF(E8/F8&gt;=1,"In Good Standing",IF(E8/F8&gt;=0.5,"On Track",IF(E8/F8&gt;=0.25,"Needs Support","Needs Intervention")))</f>
      </c>
    </row>
    <row r="9">
      <c r="A9" t="str">
        <v>HH-008</v>
      </c>
      <c r="B9" t="str">
        <v>CANDICE BARLOLAY MOSQUERA</v>
      </c>
      <c r="C9">
        <v>0</v>
      </c>
      <c r="D9" t="str">
        <v>Solo Parent</v>
      </c>
      <c r="E9">
        <f>C9*8</f>
      </c>
      <c r="F9">
        <v>24</v>
      </c>
      <c r="G9">
        <f>TEXT(MIN(1,E9/F9),"0.0%")</f>
      </c>
      <c r="H9">
        <f>IF(E9/F9&gt;=1,"In Good Standing",IF(E9/F9&gt;=0.5,"On Track",IF(E9/F9&gt;=0.25,"Needs Support","Needs Intervention")))</f>
      </c>
    </row>
    <row r="10">
      <c r="A10" t="str">
        <v>HH-009</v>
      </c>
      <c r="B10" t="str">
        <v>RHEAN MARK MAGANA PACHECO</v>
      </c>
      <c r="C10">
        <v>0</v>
      </c>
      <c r="D10" t="str">
        <v>Standard</v>
      </c>
      <c r="E10">
        <f>C10*8</f>
      </c>
      <c r="F10">
        <v>32</v>
      </c>
      <c r="G10">
        <f>TEXT(MIN(1,E10/F10),"0.0%")</f>
      </c>
      <c r="H10">
        <f>IF(E10/F10&gt;=1,"In Good Standing",IF(E10/F10&gt;=0.5,"On Track",IF(E10/F10&gt;=0.25,"Needs Support","Needs Intervention")))</f>
      </c>
    </row>
    <row r="11">
      <c r="A11" t="str">
        <v>HH-010</v>
      </c>
      <c r="B11" t="str">
        <v>AKEESHA LIANNE ALCAZAR ROSALES</v>
      </c>
      <c r="C11">
        <v>0</v>
      </c>
      <c r="D11" t="str">
        <v>Standard</v>
      </c>
      <c r="E11">
        <f>C11*8</f>
      </c>
      <c r="F11">
        <v>32</v>
      </c>
      <c r="G11">
        <f>TEXT(MIN(1,E11/F11),"0.0%")</f>
      </c>
      <c r="H11">
        <f>IF(E11/F11&gt;=1,"In Good Standing",IF(E11/F11&gt;=0.5,"On Track",IF(E11/F11&gt;=0.25,"Needs Support","Needs Intervention")))</f>
      </c>
    </row>
    <row r="12">
      <c r="A12" t="str">
        <v>HH-011</v>
      </c>
      <c r="B12" t="str">
        <v>JOSHUA DAVID RELLATORRES ROSAS</v>
      </c>
      <c r="C12">
        <v>0</v>
      </c>
      <c r="D12" t="str">
        <v>Standard</v>
      </c>
      <c r="E12">
        <f>C12*8</f>
      </c>
      <c r="F12">
        <v>32</v>
      </c>
      <c r="G12">
        <f>TEXT(MIN(1,E12/F12),"0.0%")</f>
      </c>
      <c r="H12">
        <f>IF(E12/F12&gt;=1,"In Good Standing",IF(E12/F12&gt;=0.5,"On Track",IF(E12/F12&gt;=0.25,"Needs Support","Needs Intervention")))</f>
      </c>
    </row>
    <row r="13">
      <c r="A13" t="str">
        <v>HH-012</v>
      </c>
      <c r="B13" t="str">
        <v>VINCE ARON SANGALANG SUGUITAN</v>
      </c>
      <c r="C13">
        <v>0</v>
      </c>
      <c r="D13" t="str">
        <v>Standard</v>
      </c>
      <c r="E13">
        <f>C13*8</f>
      </c>
      <c r="F13">
        <v>32</v>
      </c>
      <c r="G13">
        <f>TEXT(MIN(1,E13/F13),"0.0%")</f>
      </c>
      <c r="H13">
        <f>IF(E13/F13&gt;=1,"In Good Standing",IF(E13/F13&gt;=0.5,"On Track",IF(E13/F13&gt;=0.25,"Needs Support","Needs Intervention")))</f>
      </c>
    </row>
    <row r="14">
      <c r="A14" t="str">
        <v>HH-013</v>
      </c>
      <c r="B14" t="str">
        <v>TRICIA YHANIE ABITO BIEN</v>
      </c>
      <c r="C14">
        <v>0</v>
      </c>
      <c r="D14" t="str">
        <v>Standard</v>
      </c>
      <c r="E14">
        <f>C14*8</f>
      </c>
      <c r="F14">
        <v>32</v>
      </c>
      <c r="G14">
        <f>TEXT(MIN(1,E14/F14),"0.0%")</f>
      </c>
      <c r="H14">
        <f>IF(E14/F14&gt;=1,"In Good Standing",IF(E14/F14&gt;=0.5,"On Track",IF(E14/F14&gt;=0.25,"Needs Support","Needs Intervention")))</f>
      </c>
    </row>
    <row r="15">
      <c r="A15" t="str">
        <v>HH-014</v>
      </c>
      <c r="B15" t="str">
        <v>KRIZZEL CADE AUSTRIA DERLA</v>
      </c>
      <c r="C15">
        <v>0</v>
      </c>
      <c r="D15" t="str">
        <v>Solo Parent</v>
      </c>
      <c r="E15">
        <f>C15*8</f>
      </c>
      <c r="F15">
        <v>24</v>
      </c>
      <c r="G15">
        <f>TEXT(MIN(1,E15/F15),"0.0%")</f>
      </c>
      <c r="H15">
        <f>IF(E15/F15&gt;=1,"In Good Standing",IF(E15/F15&gt;=0.5,"On Track",IF(E15/F15&gt;=0.25,"Needs Support","Needs Intervention")))</f>
      </c>
    </row>
    <row r="16">
      <c r="A16" t="str">
        <v>HH-015</v>
      </c>
      <c r="B16" t="str">
        <v>HERSHEY MHAORI HERNANDEZ</v>
      </c>
      <c r="C16">
        <v>0</v>
      </c>
      <c r="D16" t="str">
        <v>Standard</v>
      </c>
      <c r="E16">
        <f>C16*8</f>
      </c>
      <c r="F16">
        <v>32</v>
      </c>
      <c r="G16">
        <f>TEXT(MIN(1,E16/F16),"0.0%")</f>
      </c>
      <c r="H16">
        <f>IF(E16/F16&gt;=1,"In Good Standing",IF(E16/F16&gt;=0.5,"On Track",IF(E16/F16&gt;=0.25,"Needs Support","Needs Intervention")))</f>
      </c>
    </row>
    <row r="17">
      <c r="A17" t="str">
        <v>HH-016</v>
      </c>
      <c r="B17" t="str">
        <v>RHAYNE LUMAG MARTINEZ</v>
      </c>
      <c r="C17">
        <v>0</v>
      </c>
      <c r="D17" t="str">
        <v>Standard</v>
      </c>
      <c r="E17">
        <f>C17*8</f>
      </c>
      <c r="F17">
        <v>32</v>
      </c>
      <c r="G17">
        <f>TEXT(MIN(1,E17/F17),"0.0%")</f>
      </c>
      <c r="H17">
        <f>IF(E17/F17&gt;=1,"In Good Standing",IF(E17/F17&gt;=0.5,"On Track",IF(E17/F17&gt;=0.25,"Needs Support","Needs Intervention")))</f>
      </c>
    </row>
    <row r="18">
      <c r="A18" t="str">
        <v>HH-017</v>
      </c>
      <c r="B18" t="str">
        <v>KEISHA BRICE PANOPIO MELEGRITO</v>
      </c>
      <c r="C18">
        <v>0</v>
      </c>
      <c r="D18" t="str">
        <v>Standard</v>
      </c>
      <c r="E18">
        <f>C18*8</f>
      </c>
      <c r="F18">
        <v>32</v>
      </c>
      <c r="G18">
        <f>TEXT(MIN(1,E18/F18),"0.0%")</f>
      </c>
      <c r="H18">
        <f>IF(E18/F18&gt;=1,"In Good Standing",IF(E18/F18&gt;=0.5,"On Track",IF(E18/F18&gt;=0.25,"Needs Support","Needs Intervention")))</f>
      </c>
    </row>
    <row r="19">
      <c r="A19" t="str">
        <v>HH-018</v>
      </c>
      <c r="B19" t="str">
        <v>KYLE BRENAN SAGADRACA MENDOZA</v>
      </c>
      <c r="C19">
        <v>0</v>
      </c>
      <c r="D19" t="str">
        <v>Standard</v>
      </c>
      <c r="E19">
        <f>C19*8</f>
      </c>
      <c r="F19">
        <v>32</v>
      </c>
      <c r="G19">
        <f>TEXT(MIN(1,E19/F19),"0.0%")</f>
      </c>
      <c r="H19">
        <f>IF(E19/F19&gt;=1,"In Good Standing",IF(E19/F19&gt;=0.5,"On Track",IF(E19/F19&gt;=0.25,"Needs Support","Needs Intervention")))</f>
      </c>
    </row>
    <row r="20">
      <c r="A20" t="str">
        <v>HH-019</v>
      </c>
      <c r="B20" t="str">
        <v>NICOLE ANNE UROT SABAL</v>
      </c>
      <c r="C20">
        <v>0</v>
      </c>
      <c r="D20" t="str">
        <v>OFW</v>
      </c>
      <c r="E20">
        <f>C20*8</f>
      </c>
      <c r="F20">
        <v>24</v>
      </c>
      <c r="G20">
        <f>TEXT(MIN(1,E20/F20),"0.0%")</f>
      </c>
      <c r="H20">
        <f>IF(E20/F20&gt;=1,"In Good Standing",IF(E20/F20&gt;=0.5,"On Track",IF(E20/F20&gt;=0.25,"Needs Support","Needs Intervention")))</f>
      </c>
    </row>
    <row r="21">
      <c r="A21" t="str">
        <v>HH-020</v>
      </c>
      <c r="B21" t="str">
        <v>AIKEE MIKAELA MIRANDUQUE SANTOS</v>
      </c>
      <c r="C21">
        <v>0</v>
      </c>
      <c r="D21" t="str">
        <v>Standard</v>
      </c>
      <c r="E21">
        <f>C21*8</f>
      </c>
      <c r="F21">
        <v>32</v>
      </c>
      <c r="G21">
        <f>TEXT(MIN(1,E21/F21),"0.0%")</f>
      </c>
      <c r="H21">
        <f>IF(E21/F21&gt;=1,"In Good Standing",IF(E21/F21&gt;=0.5,"On Track",IF(E21/F21&gt;=0.25,"Needs Support","Needs Intervention")))</f>
      </c>
    </row>
    <row r="22">
      <c r="A22" t="str">
        <v>HH-021</v>
      </c>
      <c r="B22" t="str">
        <v>QUIM DRIZEL QUIMIO TOLENTINO</v>
      </c>
      <c r="C22">
        <v>0</v>
      </c>
      <c r="D22" t="str">
        <v>Standard</v>
      </c>
      <c r="E22">
        <f>C22*8</f>
      </c>
      <c r="F22">
        <v>32</v>
      </c>
      <c r="G22">
        <f>TEXT(MIN(1,E22/F22),"0.0%")</f>
      </c>
      <c r="H22">
        <f>IF(E22/F22&gt;=1,"In Good Standing",IF(E22/F22&gt;=0.5,"On Track",IF(E22/F22&gt;=0.25,"Needs Support","Needs Intervention")))</f>
      </c>
    </row>
    <row r="23">
      <c r="A23" t="str">
        <v>HH-022</v>
      </c>
      <c r="B23" t="str">
        <v>XYRA HYACINTH RODRIGUEZ CLEOPAS</v>
      </c>
      <c r="C23">
        <v>0</v>
      </c>
      <c r="D23" t="str">
        <v>Standard</v>
      </c>
      <c r="E23">
        <f>C23*8</f>
      </c>
      <c r="F23">
        <v>32</v>
      </c>
      <c r="G23">
        <f>TEXT(MIN(1,E23/F23),"0.0%")</f>
      </c>
      <c r="H23">
        <f>IF(E23/F23&gt;=1,"In Good Standing",IF(E23/F23&gt;=0.5,"On Track",IF(E23/F23&gt;=0.25,"Needs Support","Needs Intervention")))</f>
      </c>
    </row>
    <row r="24">
      <c r="A24" t="str">
        <v>HH-023</v>
      </c>
      <c r="B24" t="str">
        <v>SAMANTHA RAGODON ECRAELA</v>
      </c>
      <c r="C24">
        <v>0</v>
      </c>
      <c r="D24" t="str">
        <v>Standard</v>
      </c>
      <c r="E24">
        <f>C24*8</f>
      </c>
      <c r="F24">
        <v>32</v>
      </c>
      <c r="G24">
        <f>TEXT(MIN(1,E24/F24),"0.0%")</f>
      </c>
      <c r="H24">
        <f>IF(E24/F24&gt;=1,"In Good Standing",IF(E24/F24&gt;=0.5,"On Track",IF(E24/F24&gt;=0.25,"Needs Support","Needs Intervention")))</f>
      </c>
    </row>
    <row r="25">
      <c r="A25" t="str">
        <v>HH-024</v>
      </c>
      <c r="B25" t="str">
        <v>FAITH EUNICE FAMILIAR FLORES</v>
      </c>
      <c r="C25">
        <v>0</v>
      </c>
      <c r="D25" t="str">
        <v>Standard</v>
      </c>
      <c r="E25">
        <f>C25*8</f>
      </c>
      <c r="F25">
        <v>32</v>
      </c>
      <c r="G25">
        <f>TEXT(MIN(1,E25/F25),"0.0%")</f>
      </c>
      <c r="H25">
        <f>IF(E25/F25&gt;=1,"In Good Standing",IF(E25/F25&gt;=0.5,"On Track",IF(E25/F25&gt;=0.25,"Needs Support","Needs Intervention")))</f>
      </c>
    </row>
    <row r="26">
      <c r="A26" t="str">
        <v>HH-025</v>
      </c>
      <c r="B26" t="str">
        <v>ERIC JOSH SANTIAGO GARCIA</v>
      </c>
      <c r="C26">
        <v>0</v>
      </c>
      <c r="D26" t="str">
        <v>Solo Parent</v>
      </c>
      <c r="E26">
        <f>C26*8</f>
      </c>
      <c r="F26">
        <v>24</v>
      </c>
      <c r="G26">
        <f>TEXT(MIN(1,E26/F26),"0.0%")</f>
      </c>
      <c r="H26">
        <f>IF(E26/F26&gt;=1,"In Good Standing",IF(E26/F26&gt;=0.5,"On Track",IF(E26/F26&gt;=0.25,"Needs Support","Needs Intervention")))</f>
      </c>
    </row>
    <row r="27">
      <c r="A27" t="str">
        <v>HH-026</v>
      </c>
      <c r="B27" t="str">
        <v>ANGELU T. NUMERON</v>
      </c>
      <c r="C27">
        <v>0</v>
      </c>
      <c r="D27" t="str">
        <v>Standard</v>
      </c>
      <c r="E27">
        <f>C27*8</f>
      </c>
      <c r="F27">
        <v>32</v>
      </c>
      <c r="G27">
        <f>TEXT(MIN(1,E27/F27),"0.0%")</f>
      </c>
      <c r="H27">
        <f>IF(E27/F27&gt;=1,"In Good Standing",IF(E27/F27&gt;=0.5,"On Track",IF(E27/F27&gt;=0.25,"Needs Support","Needs Intervention")))</f>
      </c>
    </row>
    <row r="28">
      <c r="A28" t="str">
        <v>HH-027</v>
      </c>
      <c r="B28" t="str">
        <v>NASH IVAN RAFALLO PANTOJA</v>
      </c>
      <c r="C28">
        <v>0</v>
      </c>
      <c r="D28" t="str">
        <v>Standard</v>
      </c>
      <c r="E28">
        <f>C28*8</f>
      </c>
      <c r="F28">
        <v>32</v>
      </c>
      <c r="G28">
        <f>TEXT(MIN(1,E28/F28),"0.0%")</f>
      </c>
      <c r="H28">
        <f>IF(E28/F28&gt;=1,"In Good Standing",IF(E28/F28&gt;=0.5,"On Track",IF(E28/F28&gt;=0.25,"Needs Support","Needs Intervention")))</f>
      </c>
    </row>
    <row r="29">
      <c r="A29" t="str">
        <v>HH-028</v>
      </c>
      <c r="B29" t="str">
        <v>ALLYN BAUTISTA RONDINA</v>
      </c>
      <c r="C29">
        <v>0</v>
      </c>
      <c r="D29" t="str">
        <v>Standard</v>
      </c>
      <c r="E29">
        <f>C29*8</f>
      </c>
      <c r="F29">
        <v>32</v>
      </c>
      <c r="G29">
        <f>TEXT(MIN(1,E29/F29),"0.0%")</f>
      </c>
      <c r="H29">
        <f>IF(E29/F29&gt;=1,"In Good Standing",IF(E29/F29&gt;=0.5,"On Track",IF(E29/F29&gt;=0.25,"Needs Support","Needs Intervention")))</f>
      </c>
    </row>
    <row r="30">
      <c r="A30" t="str">
        <v>HH-029</v>
      </c>
      <c r="B30" t="str">
        <v>HANNA KIMBERLIE VALERA FERNANDEZ</v>
      </c>
      <c r="C30">
        <v>0</v>
      </c>
      <c r="D30" t="str">
        <v>Standard</v>
      </c>
      <c r="E30">
        <f>C30*8</f>
      </c>
      <c r="F30">
        <v>32</v>
      </c>
      <c r="G30">
        <f>TEXT(MIN(1,E30/F30),"0.0%")</f>
      </c>
      <c r="H30">
        <f>IF(E30/F30&gt;=1,"In Good Standing",IF(E30/F30&gt;=0.5,"On Track",IF(E30/F30&gt;=0.25,"Needs Support","Needs Intervention")))</f>
      </c>
    </row>
    <row r="31">
      <c r="A31" t="str">
        <v>HH-030</v>
      </c>
      <c r="B31" t="str">
        <v>ANYA NATALIE HERNANDEZ DETRUZ</v>
      </c>
      <c r="C31">
        <v>0</v>
      </c>
      <c r="D31" t="str">
        <v>Standard</v>
      </c>
      <c r="E31">
        <f>C31*8</f>
      </c>
      <c r="F31">
        <v>32</v>
      </c>
      <c r="G31">
        <f>TEXT(MIN(1,E31/F31),"0.0%")</f>
      </c>
      <c r="H31">
        <f>IF(E31/F31&gt;=1,"In Good Standing",IF(E31/F31&gt;=0.5,"On Track",IF(E31/F31&gt;=0.25,"Needs Support","Needs Intervention")))</f>
      </c>
    </row>
    <row r="32">
      <c r="A32" t="str">
        <v>HH-031</v>
      </c>
      <c r="B32" t="str">
        <v>RHAINE JANNELLE SUA NACIONALES</v>
      </c>
      <c r="C32">
        <v>0</v>
      </c>
      <c r="D32" t="str">
        <v>Standard</v>
      </c>
      <c r="E32">
        <f>C32*8</f>
      </c>
      <c r="F32">
        <v>32</v>
      </c>
      <c r="G32">
        <f>TEXT(MIN(1,E32/F32),"0.0%")</f>
      </c>
      <c r="H32">
        <f>IF(E32/F32&gt;=1,"In Good Standing",IF(E32/F32&gt;=0.5,"On Track",IF(E32/F32&gt;=0.25,"Needs Support","Needs Intervention")))</f>
      </c>
    </row>
    <row r="33">
      <c r="A33" t="str">
        <v>HH-032</v>
      </c>
      <c r="B33" t="str">
        <v>ANDREA NICOLE PAR MERCADO</v>
      </c>
      <c r="C33">
        <v>0</v>
      </c>
      <c r="D33" t="str">
        <v>Standard</v>
      </c>
      <c r="E33">
        <f>C33*8</f>
      </c>
      <c r="F33">
        <v>32</v>
      </c>
      <c r="G33">
        <f>TEXT(MIN(1,E33/F33),"0.0%")</f>
      </c>
      <c r="H33">
        <f>IF(E33/F33&gt;=1,"In Good Standing",IF(E33/F33&gt;=0.5,"On Track",IF(E33/F33&gt;=0.25,"Needs Support","Needs Intervention")))</f>
      </c>
    </row>
    <row r="34">
      <c r="A34" t="str">
        <v>HH-033</v>
      </c>
      <c r="B34" t="str">
        <v>GRACE ANUYO UMALI</v>
      </c>
      <c r="C34">
        <v>0</v>
      </c>
      <c r="D34" t="str">
        <v>Standard</v>
      </c>
      <c r="E34">
        <f>C34*8</f>
      </c>
      <c r="F34">
        <v>32</v>
      </c>
      <c r="G34">
        <f>TEXT(MIN(1,E34/F34),"0.0%")</f>
      </c>
      <c r="H34">
        <f>IF(E34/F34&gt;=1,"In Good Standing",IF(E34/F34&gt;=0.5,"On Track",IF(E34/F34&gt;=0.25,"Needs Support","Needs Intervention")))</f>
      </c>
    </row>
    <row r="35">
      <c r="A35" t="str">
        <v>HH-034</v>
      </c>
      <c r="B35" t="str">
        <v>EUSSEY AOE SAN JUAN DEINLA</v>
      </c>
      <c r="C35">
        <v>0</v>
      </c>
      <c r="D35" t="str">
        <v>Standard</v>
      </c>
      <c r="E35">
        <f>C35*8</f>
      </c>
      <c r="F35">
        <v>32</v>
      </c>
      <c r="G35">
        <f>TEXT(MIN(1,E35/F35),"0.0%")</f>
      </c>
      <c r="H35">
        <f>IF(E35/F35&gt;=1,"In Good Standing",IF(E35/F35&gt;=0.5,"On Track",IF(E35/F35&gt;=0.25,"Needs Support","Needs Intervention")))</f>
      </c>
    </row>
    <row r="36">
      <c r="A36" t="str">
        <v>HH-035</v>
      </c>
      <c r="B36" t="str">
        <v>ARVEL NICOLE TERCERO UMALI</v>
      </c>
      <c r="C36">
        <v>0</v>
      </c>
      <c r="D36" t="str">
        <v>Solo Parent</v>
      </c>
      <c r="E36">
        <f>C36*8</f>
      </c>
      <c r="F36">
        <v>24</v>
      </c>
      <c r="G36">
        <f>TEXT(MIN(1,E36/F36),"0.0%")</f>
      </c>
      <c r="H36">
        <f>IF(E36/F36&gt;=1,"In Good Standing",IF(E36/F36&gt;=0.5,"On Track",IF(E36/F36&gt;=0.25,"Needs Support","Needs Intervention")))</f>
      </c>
    </row>
    <row r="37">
      <c r="A37" t="str">
        <v>HH-036</v>
      </c>
      <c r="B37" t="str">
        <v>FRANCHESCA LUBANG SISCON</v>
      </c>
      <c r="C37">
        <v>0</v>
      </c>
      <c r="D37" t="str">
        <v>Standard</v>
      </c>
      <c r="E37">
        <f>C37*8</f>
      </c>
      <c r="F37">
        <v>32</v>
      </c>
      <c r="G37">
        <f>TEXT(MIN(1,E37/F37),"0.0%")</f>
      </c>
      <c r="H37">
        <f>IF(E37/F37&gt;=1,"In Good Standing",IF(E37/F37&gt;=0.5,"On Track",IF(E37/F37&gt;=0.25,"Needs Support","Needs Intervention")))</f>
      </c>
    </row>
  </sheetData>
  <ignoredErrors>
    <ignoredError numberStoredAsText="1" sqref="A1:H3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cols>
    <col min="1" max="1" width="28.83203125" customWidth="1"/>
    <col min="2" max="2" width="34.83203125" customWidth="1"/>
    <col min="3" max="3" width="44.83203125" customWidth="1"/>
  </cols>
  <sheetData>
    <row r="1">
      <c r="A1" t="str">
        <v>Rule</v>
      </c>
      <c r="B1" t="str">
        <v>Value</v>
      </c>
      <c r="C1" t="str">
        <v>Notes</v>
      </c>
    </row>
    <row r="2">
      <c r="A2" t="str">
        <v>Points per verified shift</v>
      </c>
      <c r="B2" t="str">
        <v>8</v>
      </c>
      <c r="C2" t="str">
        <v>Flat rate regardless of hours worked.</v>
      </c>
    </row>
    <row r="3">
      <c r="A3" t="str">
        <v>Minimum shift length</v>
      </c>
      <c r="B3" t="str">
        <v>2 hours</v>
      </c>
      <c r="C3" t="str">
        <v>Shifts under 2 hours do not qualify.</v>
      </c>
    </row>
    <row r="4">
      <c r="A4" t="str">
        <v>Standard annual target</v>
      </c>
      <c r="B4" t="str">
        <v>32 points</v>
      </c>
      <c r="C4" t="str">
        <v>4 shifts per year.</v>
      </c>
    </row>
    <row r="5">
      <c r="A5" t="str">
        <v>Solo parent / OFW target</v>
      </c>
      <c r="B5" t="str">
        <v>24 points</v>
      </c>
      <c r="C5" t="str">
        <v>3 shifts per year. 25% reduction.</v>
      </c>
    </row>
    <row r="6">
      <c r="A6" t="str">
        <v>Emergency pause</v>
      </c>
      <c r="B6" t="str">
        <v>0 points</v>
      </c>
      <c r="C6" t="str">
        <v>No cutoff, no penalty.</v>
      </c>
    </row>
    <row r="7">
      <c r="A7" t="str">
        <v/>
      </c>
      <c r="B7" t="str">
        <v/>
      </c>
      <c r="C7" t="str">
        <v/>
      </c>
    </row>
    <row r="8">
      <c r="A8" t="str">
        <v>Grant rate formula</v>
      </c>
      <c r="B8" t="str">
        <v>min(100%, Points / Target)</v>
      </c>
      <c r="C8" t="str">
        <v>Proportional support, no cliff.</v>
      </c>
    </row>
    <row r="9">
      <c r="A9" t="str">
        <v/>
      </c>
      <c r="B9" t="str">
        <v/>
      </c>
      <c r="C9" t="str">
        <v/>
      </c>
    </row>
    <row r="10">
      <c r="A10" t="str">
        <v>Standing bands</v>
      </c>
      <c r="B10" t="str">
        <v>Measured against each household's own target.</v>
      </c>
      <c r="C10" t="str">
        <v/>
      </c>
    </row>
    <row r="11">
      <c r="A11" t="str">
        <v>In Good Standing</v>
      </c>
      <c r="B11" t="str">
        <v>100% or more</v>
      </c>
      <c r="C11" t="str">
        <v>Full CEM support.</v>
      </c>
    </row>
    <row r="12">
      <c r="A12" t="str">
        <v>On Track</v>
      </c>
      <c r="B12" t="str">
        <v>50% to 99%</v>
      </c>
      <c r="C12" t="str">
        <v>Proportional support plus check-in.</v>
      </c>
    </row>
    <row r="13">
      <c r="A13" t="str">
        <v>Needs Support</v>
      </c>
      <c r="B13" t="str">
        <v>25% to 49%</v>
      </c>
      <c r="C13" t="str">
        <v>Diagnostic review with the family.</v>
      </c>
    </row>
    <row r="14">
      <c r="A14" t="str">
        <v>Needs Intervention</v>
      </c>
      <c r="B14" t="str">
        <v>Under 25%</v>
      </c>
      <c r="C14" t="str">
        <v>Barrier resolution protocol.</v>
      </c>
    </row>
    <row r="15">
      <c r="A15" t="str">
        <v/>
      </c>
      <c r="B15" t="str">
        <v/>
      </c>
      <c r="C15" t="str">
        <v/>
      </c>
    </row>
    <row r="16">
      <c r="A16" t="str">
        <v>Counting unit</v>
      </c>
      <c r="B16" t="str">
        <v>Household</v>
      </c>
      <c r="C16" t="str">
        <v>Two-parent households share the target.</v>
      </c>
    </row>
    <row r="17">
      <c r="A17" t="str">
        <v>Standing set</v>
      </c>
      <c r="B17" t="str">
        <v>April review</v>
      </c>
      <c r="C17" t="str">
        <v>Once per year, on the annual total.</v>
      </c>
    </row>
  </sheetData>
  <ignoredErrors>
    <ignoredError numberStoredAsText="1" sqref="A1:C1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