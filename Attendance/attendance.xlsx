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LA\Downloads\sweat-equity-site\Attendance\"/>
    </mc:Choice>
  </mc:AlternateContent>
  <xr:revisionPtr revIDLastSave="0" documentId="13_ncr:1_{14822D51-4703-4160-B738-B87C7EAAD0BF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Attendance" sheetId="1" r:id="rId1"/>
    <sheet name="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F36" i="1"/>
  <c r="G36" i="1" s="1"/>
  <c r="F35" i="1"/>
  <c r="F34" i="1"/>
  <c r="F33" i="1"/>
  <c r="F32" i="1"/>
  <c r="F31" i="1"/>
  <c r="F30" i="1"/>
  <c r="F29" i="1"/>
  <c r="H29" i="1" s="1"/>
  <c r="F28" i="1"/>
  <c r="H28" i="1" s="1"/>
  <c r="F27" i="1"/>
  <c r="F26" i="1"/>
  <c r="F25" i="1"/>
  <c r="F24" i="1"/>
  <c r="G24" i="1" s="1"/>
  <c r="F23" i="1"/>
  <c r="F22" i="1"/>
  <c r="F21" i="1"/>
  <c r="F20" i="1"/>
  <c r="F19" i="1"/>
  <c r="F18" i="1"/>
  <c r="F17" i="1"/>
  <c r="H17" i="1" s="1"/>
  <c r="F16" i="1"/>
  <c r="H16" i="1" s="1"/>
  <c r="F15" i="1"/>
  <c r="F14" i="1"/>
  <c r="F13" i="1"/>
  <c r="F12" i="1"/>
  <c r="G12" i="1" s="1"/>
  <c r="F11" i="1"/>
  <c r="F10" i="1"/>
  <c r="F9" i="1"/>
  <c r="F8" i="1"/>
  <c r="F7" i="1"/>
  <c r="F6" i="1"/>
  <c r="F5" i="1"/>
  <c r="H5" i="1" s="1"/>
  <c r="F4" i="1"/>
  <c r="H4" i="1" s="1"/>
  <c r="F3" i="1"/>
  <c r="F2" i="1"/>
  <c r="H37" i="1"/>
  <c r="G37" i="1"/>
  <c r="E37" i="1"/>
  <c r="E36" i="1"/>
  <c r="E35" i="1"/>
  <c r="H35" i="1" s="1"/>
  <c r="E34" i="1"/>
  <c r="H34" i="1" s="1"/>
  <c r="H33" i="1"/>
  <c r="G33" i="1"/>
  <c r="E33" i="1"/>
  <c r="G32" i="1"/>
  <c r="E32" i="1"/>
  <c r="H32" i="1" s="1"/>
  <c r="E31" i="1"/>
  <c r="H31" i="1" s="1"/>
  <c r="E30" i="1"/>
  <c r="H30" i="1" s="1"/>
  <c r="E29" i="1"/>
  <c r="E28" i="1"/>
  <c r="E27" i="1"/>
  <c r="E26" i="1"/>
  <c r="H25" i="1"/>
  <c r="G25" i="1"/>
  <c r="E25" i="1"/>
  <c r="H24" i="1"/>
  <c r="E24" i="1"/>
  <c r="E23" i="1"/>
  <c r="H23" i="1" s="1"/>
  <c r="E22" i="1"/>
  <c r="H22" i="1" s="1"/>
  <c r="H21" i="1"/>
  <c r="G21" i="1"/>
  <c r="E21" i="1"/>
  <c r="H20" i="1"/>
  <c r="G20" i="1"/>
  <c r="E20" i="1"/>
  <c r="E19" i="1"/>
  <c r="H19" i="1" s="1"/>
  <c r="E18" i="1"/>
  <c r="H18" i="1" s="1"/>
  <c r="E17" i="1"/>
  <c r="E16" i="1"/>
  <c r="E15" i="1"/>
  <c r="E14" i="1"/>
  <c r="H13" i="1"/>
  <c r="G13" i="1"/>
  <c r="E13" i="1"/>
  <c r="H12" i="1"/>
  <c r="E12" i="1"/>
  <c r="E11" i="1"/>
  <c r="H11" i="1" s="1"/>
  <c r="E10" i="1"/>
  <c r="H10" i="1" s="1"/>
  <c r="H9" i="1"/>
  <c r="G9" i="1"/>
  <c r="E9" i="1"/>
  <c r="H8" i="1"/>
  <c r="G8" i="1"/>
  <c r="E8" i="1"/>
  <c r="E7" i="1"/>
  <c r="H7" i="1" s="1"/>
  <c r="E6" i="1"/>
  <c r="H6" i="1" s="1"/>
  <c r="E5" i="1"/>
  <c r="E4" i="1"/>
  <c r="E3" i="1"/>
  <c r="E2" i="1"/>
  <c r="H14" i="1" l="1"/>
  <c r="H26" i="1"/>
  <c r="H3" i="1"/>
  <c r="H15" i="1"/>
  <c r="H27" i="1"/>
  <c r="G4" i="1"/>
  <c r="G16" i="1"/>
  <c r="G28" i="1"/>
  <c r="H36" i="1"/>
  <c r="G5" i="1"/>
  <c r="G17" i="1"/>
  <c r="G29" i="1"/>
  <c r="H2" i="1"/>
  <c r="G2" i="1"/>
  <c r="G6" i="1"/>
  <c r="G10" i="1"/>
  <c r="G14" i="1"/>
  <c r="G18" i="1"/>
  <c r="G22" i="1"/>
  <c r="G26" i="1"/>
  <c r="G30" i="1"/>
  <c r="G34" i="1"/>
  <c r="G3" i="1"/>
  <c r="G7" i="1"/>
  <c r="G11" i="1"/>
  <c r="G15" i="1"/>
  <c r="G19" i="1"/>
  <c r="G23" i="1"/>
  <c r="G27" i="1"/>
  <c r="G31" i="1"/>
  <c r="G35" i="1"/>
</calcChain>
</file>

<file path=xl/sharedStrings.xml><?xml version="1.0" encoding="utf-8"?>
<sst xmlns="http://schemas.openxmlformats.org/spreadsheetml/2006/main" count="167" uniqueCount="125">
  <si>
    <t>Household ID</t>
  </si>
  <si>
    <t>Representative Name</t>
  </si>
  <si>
    <t>Shifts Completed</t>
  </si>
  <si>
    <t>Hardship Adjustment</t>
  </si>
  <si>
    <t>Points Earned</t>
  </si>
  <si>
    <t>Annual Target</t>
  </si>
  <si>
    <t>Grant Rate</t>
  </si>
  <si>
    <t>Standing</t>
  </si>
  <si>
    <t>HH-001</t>
  </si>
  <si>
    <t>MATEO ASUMEN BOBILES</t>
  </si>
  <si>
    <t>Standard</t>
  </si>
  <si>
    <t>HH-002</t>
  </si>
  <si>
    <t>JUNRISH EBUENGA CAONES</t>
  </si>
  <si>
    <t>Solo Parent</t>
  </si>
  <si>
    <t>HH-003</t>
  </si>
  <si>
    <t>RICHLYN LANDICHO CAPULO</t>
  </si>
  <si>
    <t>HH-004</t>
  </si>
  <si>
    <t>FRANCIS ALLESANDRO CASPE CUSTODIO</t>
  </si>
  <si>
    <t>HH-005</t>
  </si>
  <si>
    <t>REYNIEL ALLEN ROBLES ESCUETA</t>
  </si>
  <si>
    <t>OFW</t>
  </si>
  <si>
    <t>HH-006</t>
  </si>
  <si>
    <t>JOHN CARLO BARRUGA LAZANAS</t>
  </si>
  <si>
    <t>HH-007</t>
  </si>
  <si>
    <t>PHILIP ANDREW CABALLERO LOGRONIO</t>
  </si>
  <si>
    <t>HH-008</t>
  </si>
  <si>
    <t>CANDICE BARLOLAY MOSQUERA</t>
  </si>
  <si>
    <t>HH-009</t>
  </si>
  <si>
    <t>RHEAN MARK MAGANA PACHECO</t>
  </si>
  <si>
    <t>HH-010</t>
  </si>
  <si>
    <t>AKEESHA LIANNE ALCAZAR ROSALES</t>
  </si>
  <si>
    <t>HH-011</t>
  </si>
  <si>
    <t>JOSHUA DAVID RELLATORRES ROSAS</t>
  </si>
  <si>
    <t>HH-012</t>
  </si>
  <si>
    <t>VINCE ARON SANGALANG SUGUITAN</t>
  </si>
  <si>
    <t>HH-013</t>
  </si>
  <si>
    <t>TRICIA YHANIE ABITO BIEN</t>
  </si>
  <si>
    <t>HH-014</t>
  </si>
  <si>
    <t>KRIZZEL CADE AUSTRIA DERLA</t>
  </si>
  <si>
    <t>HH-015</t>
  </si>
  <si>
    <t>HERSHEY MHAORI HERNANDEZ</t>
  </si>
  <si>
    <t>HH-016</t>
  </si>
  <si>
    <t>RHAYNE LUMAG MARTINEZ</t>
  </si>
  <si>
    <t>HH-017</t>
  </si>
  <si>
    <t>KEISHA BRICE PANOPIO MELEGRITO</t>
  </si>
  <si>
    <t>HH-018</t>
  </si>
  <si>
    <t>KYLE BRENAN SAGADRACA MENDOZA</t>
  </si>
  <si>
    <t>HH-019</t>
  </si>
  <si>
    <t>NICOLE ANNE UROT SABAL</t>
  </si>
  <si>
    <t>HH-020</t>
  </si>
  <si>
    <t>AIKEE MIKAELA MIRANDUQUE SANTOS</t>
  </si>
  <si>
    <t>HH-021</t>
  </si>
  <si>
    <t>QUIM DRIZEL QUIMIO TOLENTINO</t>
  </si>
  <si>
    <t>HH-022</t>
  </si>
  <si>
    <t>XYRA HYACINTH RODRIGUEZ CLEOPAS</t>
  </si>
  <si>
    <t>HH-023</t>
  </si>
  <si>
    <t>SAMANTHA RAGODON ECRAELA</t>
  </si>
  <si>
    <t>HH-024</t>
  </si>
  <si>
    <t>FAITH EUNICE FAMILIAR FLORES</t>
  </si>
  <si>
    <t>HH-025</t>
  </si>
  <si>
    <t>ERIC JOSH SANTIAGO GARCIA</t>
  </si>
  <si>
    <t>HH-026</t>
  </si>
  <si>
    <t>ANGELU T. NUMERON</t>
  </si>
  <si>
    <t>HH-027</t>
  </si>
  <si>
    <t>NASH IVAN RAFALLO PANTOJA</t>
  </si>
  <si>
    <t>HH-028</t>
  </si>
  <si>
    <t>ALLYN BAUTISTA RONDINA</t>
  </si>
  <si>
    <t>HH-029</t>
  </si>
  <si>
    <t>HANNA KIMBERLIE VALERA FERNANDEZ</t>
  </si>
  <si>
    <t>HH-030</t>
  </si>
  <si>
    <t>ANYA NATALIE HERNANDEZ DETRUZ</t>
  </si>
  <si>
    <t>HH-031</t>
  </si>
  <si>
    <t>RHAINE JANNELLE SUA NACIONALES</t>
  </si>
  <si>
    <t>HH-032</t>
  </si>
  <si>
    <t>ANDREA NICOLE PAR MERCADO</t>
  </si>
  <si>
    <t>HH-033</t>
  </si>
  <si>
    <t>GRACE ANUYO UMALI</t>
  </si>
  <si>
    <t>HH-034</t>
  </si>
  <si>
    <t>EUSSEY AOE SAN JUAN DEINLA</t>
  </si>
  <si>
    <t>HH-035</t>
  </si>
  <si>
    <t>ARVEL NICOLE TERCERO UMALI</t>
  </si>
  <si>
    <t>HH-036</t>
  </si>
  <si>
    <t>FRANCHESCA LUBANG SISCON</t>
  </si>
  <si>
    <t>Rule</t>
  </si>
  <si>
    <t>Value</t>
  </si>
  <si>
    <t>Notes</t>
  </si>
  <si>
    <t>Points per verified shift</t>
  </si>
  <si>
    <t>8</t>
  </si>
  <si>
    <t>Flat rate regardless of hours worked.</t>
  </si>
  <si>
    <t>Minimum shift length</t>
  </si>
  <si>
    <t>2 hours</t>
  </si>
  <si>
    <t>Shifts under 2 hours do not qualify.</t>
  </si>
  <si>
    <t>Standard annual target</t>
  </si>
  <si>
    <t>32 points</t>
  </si>
  <si>
    <t>4 shifts per year.</t>
  </si>
  <si>
    <t>Solo parent / OFW target</t>
  </si>
  <si>
    <t>24 points</t>
  </si>
  <si>
    <t>3 shifts per year. 25% reduction.</t>
  </si>
  <si>
    <t>Emergency pause</t>
  </si>
  <si>
    <t>0 points</t>
  </si>
  <si>
    <t>No cutoff, no penalty.</t>
  </si>
  <si>
    <t/>
  </si>
  <si>
    <t>Grant rate formula</t>
  </si>
  <si>
    <t>min(100%, Points / Target)</t>
  </si>
  <si>
    <t>Proportional support, no cliff.</t>
  </si>
  <si>
    <t>Standing bands</t>
  </si>
  <si>
    <t>Measured against each household's own target.</t>
  </si>
  <si>
    <t>In Good Standing</t>
  </si>
  <si>
    <t>100% or more</t>
  </si>
  <si>
    <t>Full CEM support.</t>
  </si>
  <si>
    <t>On Track</t>
  </si>
  <si>
    <t>50% to 99%</t>
  </si>
  <si>
    <t>Proportional support plus check-in.</t>
  </si>
  <si>
    <t>Needs Support</t>
  </si>
  <si>
    <t>25% to 49%</t>
  </si>
  <si>
    <t>Diagnostic review with the family.</t>
  </si>
  <si>
    <t>Needs Intervention</t>
  </si>
  <si>
    <t>Under 25%</t>
  </si>
  <si>
    <t>Barrier resolution protocol.</t>
  </si>
  <si>
    <t>Counting unit</t>
  </si>
  <si>
    <t>Household</t>
  </si>
  <si>
    <t>Two-parent households share the target.</t>
  </si>
  <si>
    <t>Standing set</t>
  </si>
  <si>
    <t>April review</t>
  </si>
  <si>
    <t>Once per year, on the annual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</si>
</sst>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C1" workbookViewId="0">
      <selection activeCell="H2" sqref="H2"/>
    </sheetView>
  </sheetViews>
  <sheetFormatPr defaultRowHeight="15.6" x14ac:dyDescent="0.3"/>
  <cols>
    <col min="1" max="1" width="13.796875" customWidth="1"/>
    <col min="2" max="2" width="42.796875" customWidth="1"/>
    <col min="3" max="3" width="17.796875" customWidth="1"/>
    <col min="4" max="4" width="18.796875" customWidth="1"/>
    <col min="5" max="6" width="13.796875" customWidth="1"/>
    <col min="7" max="7" width="11.796875" customWidth="1"/>
    <col min="8" max="8" width="20.79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0</v>
      </c>
      <c r="D2" t="s">
        <v>13</v>
      </c>
      <c r="E2">
        <f t="shared" ref="E2:E37" si="0">C2*8</f>
        <v>0</v>
      </c>
      <c r="F2">
        <f>IF(D2="Standard", 32, 24)</f>
        <v>24</v>
      </c>
      <c r="G2" t="str">
        <f t="shared" ref="G2:G37" si="1">TEXT(MIN(1,E2/F2),"0.0%")</f>
        <v>0.0%</v>
      </c>
      <c r="H2" t="str">
        <f t="shared" ref="H2:H37" si="2">IF(E2/F2&gt;=1,"In Good Standing",IF(E2/F2&gt;=0.5,"On Track",IF(E2/F2&gt;=0.25,"Needs Support","Needs Intervention")))</f>
        <v>Needs Intervention</v>
      </c>
    </row>
    <row r="3" spans="1:8" x14ac:dyDescent="0.3">
      <c r="A3" t="s">
        <v>11</v>
      </c>
      <c r="B3" t="s">
        <v>12</v>
      </c>
      <c r="C3">
        <v>0</v>
      </c>
      <c r="D3" t="s">
        <v>13</v>
      </c>
      <c r="E3">
        <f t="shared" si="0"/>
        <v>0</v>
      </c>
      <c r="F3">
        <f t="shared" ref="F3:F37" si="3">IF(D3="Standard", 32, 24)</f>
        <v>24</v>
      </c>
      <c r="G3" t="str">
        <f t="shared" si="1"/>
        <v>0.0%</v>
      </c>
      <c r="H3" t="str">
        <f t="shared" si="2"/>
        <v>Needs Intervention</v>
      </c>
    </row>
    <row r="4" spans="1:8" x14ac:dyDescent="0.3">
      <c r="A4" t="s">
        <v>14</v>
      </c>
      <c r="B4" t="s">
        <v>15</v>
      </c>
      <c r="C4">
        <v>0</v>
      </c>
      <c r="D4" t="s">
        <v>10</v>
      </c>
      <c r="E4">
        <f t="shared" si="0"/>
        <v>0</v>
      </c>
      <c r="F4">
        <f t="shared" si="3"/>
        <v>32</v>
      </c>
      <c r="G4" t="str">
        <f t="shared" si="1"/>
        <v>0.0%</v>
      </c>
      <c r="H4" t="str">
        <f t="shared" si="2"/>
        <v>Needs Intervention</v>
      </c>
    </row>
    <row r="5" spans="1:8" x14ac:dyDescent="0.3">
      <c r="A5" t="s">
        <v>16</v>
      </c>
      <c r="B5" t="s">
        <v>17</v>
      </c>
      <c r="C5">
        <v>0</v>
      </c>
      <c r="D5" t="s">
        <v>10</v>
      </c>
      <c r="E5">
        <f t="shared" si="0"/>
        <v>0</v>
      </c>
      <c r="F5">
        <f t="shared" si="3"/>
        <v>32</v>
      </c>
      <c r="G5" t="str">
        <f t="shared" si="1"/>
        <v>0.0%</v>
      </c>
      <c r="H5" t="str">
        <f t="shared" si="2"/>
        <v>Needs Intervention</v>
      </c>
    </row>
    <row r="6" spans="1:8" x14ac:dyDescent="0.3">
      <c r="A6" t="s">
        <v>18</v>
      </c>
      <c r="B6" t="s">
        <v>19</v>
      </c>
      <c r="C6">
        <v>0</v>
      </c>
      <c r="D6" t="s">
        <v>20</v>
      </c>
      <c r="E6">
        <f t="shared" si="0"/>
        <v>0</v>
      </c>
      <c r="F6">
        <f t="shared" si="3"/>
        <v>24</v>
      </c>
      <c r="G6" t="str">
        <f t="shared" si="1"/>
        <v>0.0%</v>
      </c>
      <c r="H6" t="str">
        <f t="shared" si="2"/>
        <v>Needs Intervention</v>
      </c>
    </row>
    <row r="7" spans="1:8" x14ac:dyDescent="0.3">
      <c r="A7" t="s">
        <v>21</v>
      </c>
      <c r="B7" t="s">
        <v>22</v>
      </c>
      <c r="C7">
        <v>0</v>
      </c>
      <c r="D7" t="s">
        <v>10</v>
      </c>
      <c r="E7">
        <f t="shared" si="0"/>
        <v>0</v>
      </c>
      <c r="F7">
        <f t="shared" si="3"/>
        <v>32</v>
      </c>
      <c r="G7" t="str">
        <f t="shared" si="1"/>
        <v>0.0%</v>
      </c>
      <c r="H7" t="str">
        <f t="shared" si="2"/>
        <v>Needs Intervention</v>
      </c>
    </row>
    <row r="8" spans="1:8" x14ac:dyDescent="0.3">
      <c r="A8" t="s">
        <v>23</v>
      </c>
      <c r="B8" t="s">
        <v>24</v>
      </c>
      <c r="C8">
        <v>0</v>
      </c>
      <c r="D8" t="s">
        <v>10</v>
      </c>
      <c r="E8">
        <f t="shared" si="0"/>
        <v>0</v>
      </c>
      <c r="F8">
        <f t="shared" si="3"/>
        <v>32</v>
      </c>
      <c r="G8" t="str">
        <f t="shared" si="1"/>
        <v>0.0%</v>
      </c>
      <c r="H8" t="str">
        <f t="shared" si="2"/>
        <v>Needs Intervention</v>
      </c>
    </row>
    <row r="9" spans="1:8" x14ac:dyDescent="0.3">
      <c r="A9" t="s">
        <v>25</v>
      </c>
      <c r="B9" t="s">
        <v>26</v>
      </c>
      <c r="C9">
        <v>0</v>
      </c>
      <c r="D9" t="s">
        <v>13</v>
      </c>
      <c r="E9">
        <f t="shared" si="0"/>
        <v>0</v>
      </c>
      <c r="F9">
        <f t="shared" si="3"/>
        <v>24</v>
      </c>
      <c r="G9" t="str">
        <f t="shared" si="1"/>
        <v>0.0%</v>
      </c>
      <c r="H9" t="str">
        <f t="shared" si="2"/>
        <v>Needs Intervention</v>
      </c>
    </row>
    <row r="10" spans="1:8" x14ac:dyDescent="0.3">
      <c r="A10" t="s">
        <v>27</v>
      </c>
      <c r="B10" t="s">
        <v>28</v>
      </c>
      <c r="C10">
        <v>0</v>
      </c>
      <c r="D10" t="s">
        <v>10</v>
      </c>
      <c r="E10">
        <f t="shared" si="0"/>
        <v>0</v>
      </c>
      <c r="F10">
        <f t="shared" si="3"/>
        <v>32</v>
      </c>
      <c r="G10" t="str">
        <f t="shared" si="1"/>
        <v>0.0%</v>
      </c>
      <c r="H10" t="str">
        <f t="shared" si="2"/>
        <v>Needs Intervention</v>
      </c>
    </row>
    <row r="11" spans="1:8" x14ac:dyDescent="0.3">
      <c r="A11" t="s">
        <v>29</v>
      </c>
      <c r="B11" t="s">
        <v>30</v>
      </c>
      <c r="C11">
        <v>0</v>
      </c>
      <c r="D11" t="s">
        <v>10</v>
      </c>
      <c r="E11">
        <f t="shared" si="0"/>
        <v>0</v>
      </c>
      <c r="F11">
        <f t="shared" si="3"/>
        <v>32</v>
      </c>
      <c r="G11" t="str">
        <f t="shared" si="1"/>
        <v>0.0%</v>
      </c>
      <c r="H11" t="str">
        <f t="shared" si="2"/>
        <v>Needs Intervention</v>
      </c>
    </row>
    <row r="12" spans="1:8" x14ac:dyDescent="0.3">
      <c r="A12" t="s">
        <v>31</v>
      </c>
      <c r="B12" t="s">
        <v>32</v>
      </c>
      <c r="C12">
        <v>0</v>
      </c>
      <c r="D12" t="s">
        <v>10</v>
      </c>
      <c r="E12">
        <f t="shared" si="0"/>
        <v>0</v>
      </c>
      <c r="F12">
        <f t="shared" si="3"/>
        <v>32</v>
      </c>
      <c r="G12" t="str">
        <f t="shared" si="1"/>
        <v>0.0%</v>
      </c>
      <c r="H12" t="str">
        <f t="shared" si="2"/>
        <v>Needs Intervention</v>
      </c>
    </row>
    <row r="13" spans="1:8" x14ac:dyDescent="0.3">
      <c r="A13" t="s">
        <v>33</v>
      </c>
      <c r="B13" t="s">
        <v>34</v>
      </c>
      <c r="C13">
        <v>0</v>
      </c>
      <c r="D13" t="s">
        <v>10</v>
      </c>
      <c r="E13">
        <f t="shared" si="0"/>
        <v>0</v>
      </c>
      <c r="F13">
        <f t="shared" si="3"/>
        <v>32</v>
      </c>
      <c r="G13" t="str">
        <f t="shared" si="1"/>
        <v>0.0%</v>
      </c>
      <c r="H13" t="str">
        <f t="shared" si="2"/>
        <v>Needs Intervention</v>
      </c>
    </row>
    <row r="14" spans="1:8" x14ac:dyDescent="0.3">
      <c r="A14" t="s">
        <v>35</v>
      </c>
      <c r="B14" t="s">
        <v>36</v>
      </c>
      <c r="C14">
        <v>0</v>
      </c>
      <c r="D14" t="s">
        <v>10</v>
      </c>
      <c r="E14">
        <f t="shared" si="0"/>
        <v>0</v>
      </c>
      <c r="F14">
        <f t="shared" si="3"/>
        <v>32</v>
      </c>
      <c r="G14" t="str">
        <f t="shared" si="1"/>
        <v>0.0%</v>
      </c>
      <c r="H14" t="str">
        <f t="shared" si="2"/>
        <v>Needs Intervention</v>
      </c>
    </row>
    <row r="15" spans="1:8" x14ac:dyDescent="0.3">
      <c r="A15" t="s">
        <v>37</v>
      </c>
      <c r="B15" t="s">
        <v>38</v>
      </c>
      <c r="C15">
        <v>0</v>
      </c>
      <c r="D15" t="s">
        <v>13</v>
      </c>
      <c r="E15">
        <f t="shared" si="0"/>
        <v>0</v>
      </c>
      <c r="F15">
        <f t="shared" si="3"/>
        <v>24</v>
      </c>
      <c r="G15" t="str">
        <f t="shared" si="1"/>
        <v>0.0%</v>
      </c>
      <c r="H15" t="str">
        <f t="shared" si="2"/>
        <v>Needs Intervention</v>
      </c>
    </row>
    <row r="16" spans="1:8" x14ac:dyDescent="0.3">
      <c r="A16" t="s">
        <v>39</v>
      </c>
      <c r="B16" t="s">
        <v>40</v>
      </c>
      <c r="C16">
        <v>0</v>
      </c>
      <c r="D16" t="s">
        <v>10</v>
      </c>
      <c r="E16">
        <f t="shared" si="0"/>
        <v>0</v>
      </c>
      <c r="F16">
        <f t="shared" si="3"/>
        <v>32</v>
      </c>
      <c r="G16" t="str">
        <f t="shared" si="1"/>
        <v>0.0%</v>
      </c>
      <c r="H16" t="str">
        <f t="shared" si="2"/>
        <v>Needs Intervention</v>
      </c>
    </row>
    <row r="17" spans="1:8" x14ac:dyDescent="0.3">
      <c r="A17" t="s">
        <v>41</v>
      </c>
      <c r="B17" t="s">
        <v>42</v>
      </c>
      <c r="C17">
        <v>0</v>
      </c>
      <c r="D17" t="s">
        <v>10</v>
      </c>
      <c r="E17">
        <f t="shared" si="0"/>
        <v>0</v>
      </c>
      <c r="F17">
        <f t="shared" si="3"/>
        <v>32</v>
      </c>
      <c r="G17" t="str">
        <f t="shared" si="1"/>
        <v>0.0%</v>
      </c>
      <c r="H17" t="str">
        <f t="shared" si="2"/>
        <v>Needs Intervention</v>
      </c>
    </row>
    <row r="18" spans="1:8" x14ac:dyDescent="0.3">
      <c r="A18" t="s">
        <v>43</v>
      </c>
      <c r="B18" t="s">
        <v>44</v>
      </c>
      <c r="C18">
        <v>0</v>
      </c>
      <c r="D18" t="s">
        <v>10</v>
      </c>
      <c r="E18">
        <f t="shared" si="0"/>
        <v>0</v>
      </c>
      <c r="F18">
        <f t="shared" si="3"/>
        <v>32</v>
      </c>
      <c r="G18" t="str">
        <f t="shared" si="1"/>
        <v>0.0%</v>
      </c>
      <c r="H18" t="str">
        <f t="shared" si="2"/>
        <v>Needs Intervention</v>
      </c>
    </row>
    <row r="19" spans="1:8" x14ac:dyDescent="0.3">
      <c r="A19" t="s">
        <v>45</v>
      </c>
      <c r="B19" t="s">
        <v>46</v>
      </c>
      <c r="C19">
        <v>0</v>
      </c>
      <c r="D19" t="s">
        <v>10</v>
      </c>
      <c r="E19">
        <f t="shared" si="0"/>
        <v>0</v>
      </c>
      <c r="F19">
        <f t="shared" si="3"/>
        <v>32</v>
      </c>
      <c r="G19" t="str">
        <f t="shared" si="1"/>
        <v>0.0%</v>
      </c>
      <c r="H19" t="str">
        <f t="shared" si="2"/>
        <v>Needs Intervention</v>
      </c>
    </row>
    <row r="20" spans="1:8" x14ac:dyDescent="0.3">
      <c r="A20" t="s">
        <v>47</v>
      </c>
      <c r="B20" t="s">
        <v>48</v>
      </c>
      <c r="C20">
        <v>0</v>
      </c>
      <c r="D20" t="s">
        <v>20</v>
      </c>
      <c r="E20">
        <f t="shared" si="0"/>
        <v>0</v>
      </c>
      <c r="F20">
        <f t="shared" si="3"/>
        <v>24</v>
      </c>
      <c r="G20" t="str">
        <f t="shared" si="1"/>
        <v>0.0%</v>
      </c>
      <c r="H20" t="str">
        <f t="shared" si="2"/>
        <v>Needs Intervention</v>
      </c>
    </row>
    <row r="21" spans="1:8" x14ac:dyDescent="0.3">
      <c r="A21" t="s">
        <v>49</v>
      </c>
      <c r="B21" t="s">
        <v>50</v>
      </c>
      <c r="C21">
        <v>0</v>
      </c>
      <c r="D21" t="s">
        <v>10</v>
      </c>
      <c r="E21">
        <f t="shared" si="0"/>
        <v>0</v>
      </c>
      <c r="F21">
        <f t="shared" si="3"/>
        <v>32</v>
      </c>
      <c r="G21" t="str">
        <f t="shared" si="1"/>
        <v>0.0%</v>
      </c>
      <c r="H21" t="str">
        <f t="shared" si="2"/>
        <v>Needs Intervention</v>
      </c>
    </row>
    <row r="22" spans="1:8" x14ac:dyDescent="0.3">
      <c r="A22" t="s">
        <v>51</v>
      </c>
      <c r="B22" t="s">
        <v>52</v>
      </c>
      <c r="C22">
        <v>0</v>
      </c>
      <c r="D22" t="s">
        <v>10</v>
      </c>
      <c r="E22">
        <f t="shared" si="0"/>
        <v>0</v>
      </c>
      <c r="F22">
        <f t="shared" si="3"/>
        <v>32</v>
      </c>
      <c r="G22" t="str">
        <f t="shared" si="1"/>
        <v>0.0%</v>
      </c>
      <c r="H22" t="str">
        <f t="shared" si="2"/>
        <v>Needs Intervention</v>
      </c>
    </row>
    <row r="23" spans="1:8" x14ac:dyDescent="0.3">
      <c r="A23" t="s">
        <v>53</v>
      </c>
      <c r="B23" t="s">
        <v>54</v>
      </c>
      <c r="C23">
        <v>0</v>
      </c>
      <c r="D23" t="s">
        <v>10</v>
      </c>
      <c r="E23">
        <f t="shared" si="0"/>
        <v>0</v>
      </c>
      <c r="F23">
        <f t="shared" si="3"/>
        <v>32</v>
      </c>
      <c r="G23" t="str">
        <f t="shared" si="1"/>
        <v>0.0%</v>
      </c>
      <c r="H23" t="str">
        <f t="shared" si="2"/>
        <v>Needs Intervention</v>
      </c>
    </row>
    <row r="24" spans="1:8" x14ac:dyDescent="0.3">
      <c r="A24" t="s">
        <v>55</v>
      </c>
      <c r="B24" t="s">
        <v>56</v>
      </c>
      <c r="C24">
        <v>0</v>
      </c>
      <c r="D24" t="s">
        <v>10</v>
      </c>
      <c r="E24">
        <f t="shared" si="0"/>
        <v>0</v>
      </c>
      <c r="F24">
        <f t="shared" si="3"/>
        <v>32</v>
      </c>
      <c r="G24" t="str">
        <f t="shared" si="1"/>
        <v>0.0%</v>
      </c>
      <c r="H24" t="str">
        <f t="shared" si="2"/>
        <v>Needs Intervention</v>
      </c>
    </row>
    <row r="25" spans="1:8" x14ac:dyDescent="0.3">
      <c r="A25" t="s">
        <v>57</v>
      </c>
      <c r="B25" t="s">
        <v>58</v>
      </c>
      <c r="C25">
        <v>0</v>
      </c>
      <c r="D25" t="s">
        <v>10</v>
      </c>
      <c r="E25">
        <f t="shared" si="0"/>
        <v>0</v>
      </c>
      <c r="F25">
        <f t="shared" si="3"/>
        <v>32</v>
      </c>
      <c r="G25" t="str">
        <f t="shared" si="1"/>
        <v>0.0%</v>
      </c>
      <c r="H25" t="str">
        <f t="shared" si="2"/>
        <v>Needs Intervention</v>
      </c>
    </row>
    <row r="26" spans="1:8" x14ac:dyDescent="0.3">
      <c r="A26" t="s">
        <v>59</v>
      </c>
      <c r="B26" t="s">
        <v>60</v>
      </c>
      <c r="C26">
        <v>0</v>
      </c>
      <c r="D26" t="s">
        <v>13</v>
      </c>
      <c r="E26">
        <f t="shared" si="0"/>
        <v>0</v>
      </c>
      <c r="F26">
        <f t="shared" si="3"/>
        <v>24</v>
      </c>
      <c r="G26" t="str">
        <f t="shared" si="1"/>
        <v>0.0%</v>
      </c>
      <c r="H26" t="str">
        <f t="shared" si="2"/>
        <v>Needs Intervention</v>
      </c>
    </row>
    <row r="27" spans="1:8" x14ac:dyDescent="0.3">
      <c r="A27" t="s">
        <v>61</v>
      </c>
      <c r="B27" t="s">
        <v>62</v>
      </c>
      <c r="C27">
        <v>0</v>
      </c>
      <c r="D27" t="s">
        <v>10</v>
      </c>
      <c r="E27">
        <f t="shared" si="0"/>
        <v>0</v>
      </c>
      <c r="F27">
        <f t="shared" si="3"/>
        <v>32</v>
      </c>
      <c r="G27" t="str">
        <f t="shared" si="1"/>
        <v>0.0%</v>
      </c>
      <c r="H27" t="str">
        <f t="shared" si="2"/>
        <v>Needs Intervention</v>
      </c>
    </row>
    <row r="28" spans="1:8" x14ac:dyDescent="0.3">
      <c r="A28" t="s">
        <v>63</v>
      </c>
      <c r="B28" t="s">
        <v>64</v>
      </c>
      <c r="C28">
        <v>0</v>
      </c>
      <c r="D28" t="s">
        <v>10</v>
      </c>
      <c r="E28">
        <f t="shared" si="0"/>
        <v>0</v>
      </c>
      <c r="F28">
        <f t="shared" si="3"/>
        <v>32</v>
      </c>
      <c r="G28" t="str">
        <f t="shared" si="1"/>
        <v>0.0%</v>
      </c>
      <c r="H28" t="str">
        <f t="shared" si="2"/>
        <v>Needs Intervention</v>
      </c>
    </row>
    <row r="29" spans="1:8" x14ac:dyDescent="0.3">
      <c r="A29" t="s">
        <v>65</v>
      </c>
      <c r="B29" t="s">
        <v>66</v>
      </c>
      <c r="C29">
        <v>0</v>
      </c>
      <c r="D29" t="s">
        <v>10</v>
      </c>
      <c r="E29">
        <f t="shared" si="0"/>
        <v>0</v>
      </c>
      <c r="F29">
        <f t="shared" si="3"/>
        <v>32</v>
      </c>
      <c r="G29" t="str">
        <f t="shared" si="1"/>
        <v>0.0%</v>
      </c>
      <c r="H29" t="str">
        <f t="shared" si="2"/>
        <v>Needs Intervention</v>
      </c>
    </row>
    <row r="30" spans="1:8" x14ac:dyDescent="0.3">
      <c r="A30" t="s">
        <v>67</v>
      </c>
      <c r="B30" t="s">
        <v>68</v>
      </c>
      <c r="C30">
        <v>0</v>
      </c>
      <c r="D30" t="s">
        <v>10</v>
      </c>
      <c r="E30">
        <f t="shared" si="0"/>
        <v>0</v>
      </c>
      <c r="F30">
        <f t="shared" si="3"/>
        <v>32</v>
      </c>
      <c r="G30" t="str">
        <f t="shared" si="1"/>
        <v>0.0%</v>
      </c>
      <c r="H30" t="str">
        <f t="shared" si="2"/>
        <v>Needs Intervention</v>
      </c>
    </row>
    <row r="31" spans="1:8" x14ac:dyDescent="0.3">
      <c r="A31" t="s">
        <v>69</v>
      </c>
      <c r="B31" t="s">
        <v>70</v>
      </c>
      <c r="C31">
        <v>0</v>
      </c>
      <c r="D31" t="s">
        <v>10</v>
      </c>
      <c r="E31">
        <f t="shared" si="0"/>
        <v>0</v>
      </c>
      <c r="F31">
        <f t="shared" si="3"/>
        <v>32</v>
      </c>
      <c r="G31" t="str">
        <f t="shared" si="1"/>
        <v>0.0%</v>
      </c>
      <c r="H31" t="str">
        <f t="shared" si="2"/>
        <v>Needs Intervention</v>
      </c>
    </row>
    <row r="32" spans="1:8" x14ac:dyDescent="0.3">
      <c r="A32" t="s">
        <v>71</v>
      </c>
      <c r="B32" t="s">
        <v>72</v>
      </c>
      <c r="C32">
        <v>0</v>
      </c>
      <c r="D32" t="s">
        <v>10</v>
      </c>
      <c r="E32">
        <f t="shared" si="0"/>
        <v>0</v>
      </c>
      <c r="F32">
        <f t="shared" si="3"/>
        <v>32</v>
      </c>
      <c r="G32" t="str">
        <f t="shared" si="1"/>
        <v>0.0%</v>
      </c>
      <c r="H32" t="str">
        <f t="shared" si="2"/>
        <v>Needs Intervention</v>
      </c>
    </row>
    <row r="33" spans="1:8" x14ac:dyDescent="0.3">
      <c r="A33" t="s">
        <v>73</v>
      </c>
      <c r="B33" t="s">
        <v>74</v>
      </c>
      <c r="C33">
        <v>0</v>
      </c>
      <c r="D33" t="s">
        <v>10</v>
      </c>
      <c r="E33">
        <f t="shared" si="0"/>
        <v>0</v>
      </c>
      <c r="F33">
        <f t="shared" si="3"/>
        <v>32</v>
      </c>
      <c r="G33" t="str">
        <f t="shared" si="1"/>
        <v>0.0%</v>
      </c>
      <c r="H33" t="str">
        <f t="shared" si="2"/>
        <v>Needs Intervention</v>
      </c>
    </row>
    <row r="34" spans="1:8" x14ac:dyDescent="0.3">
      <c r="A34" t="s">
        <v>75</v>
      </c>
      <c r="B34" t="s">
        <v>76</v>
      </c>
      <c r="C34">
        <v>0</v>
      </c>
      <c r="D34" t="s">
        <v>10</v>
      </c>
      <c r="E34">
        <f t="shared" si="0"/>
        <v>0</v>
      </c>
      <c r="F34">
        <f t="shared" si="3"/>
        <v>32</v>
      </c>
      <c r="G34" t="str">
        <f t="shared" si="1"/>
        <v>0.0%</v>
      </c>
      <c r="H34" t="str">
        <f t="shared" si="2"/>
        <v>Needs Intervention</v>
      </c>
    </row>
    <row r="35" spans="1:8" x14ac:dyDescent="0.3">
      <c r="A35" t="s">
        <v>77</v>
      </c>
      <c r="B35" t="s">
        <v>78</v>
      </c>
      <c r="C35">
        <v>0</v>
      </c>
      <c r="D35" t="s">
        <v>10</v>
      </c>
      <c r="E35">
        <f t="shared" si="0"/>
        <v>0</v>
      </c>
      <c r="F35">
        <f t="shared" si="3"/>
        <v>32</v>
      </c>
      <c r="G35" t="str">
        <f t="shared" si="1"/>
        <v>0.0%</v>
      </c>
      <c r="H35" t="str">
        <f t="shared" si="2"/>
        <v>Needs Intervention</v>
      </c>
    </row>
    <row r="36" spans="1:8" x14ac:dyDescent="0.3">
      <c r="A36" t="s">
        <v>79</v>
      </c>
      <c r="B36" t="s">
        <v>80</v>
      </c>
      <c r="C36">
        <v>0</v>
      </c>
      <c r="D36" t="s">
        <v>13</v>
      </c>
      <c r="E36">
        <f t="shared" si="0"/>
        <v>0</v>
      </c>
      <c r="F36">
        <f t="shared" si="3"/>
        <v>24</v>
      </c>
      <c r="G36" t="str">
        <f t="shared" si="1"/>
        <v>0.0%</v>
      </c>
      <c r="H36" t="str">
        <f t="shared" si="2"/>
        <v>Needs Intervention</v>
      </c>
    </row>
    <row r="37" spans="1:8" x14ac:dyDescent="0.3">
      <c r="A37" t="s">
        <v>81</v>
      </c>
      <c r="B37" t="s">
        <v>82</v>
      </c>
      <c r="C37">
        <v>0</v>
      </c>
      <c r="D37" t="s">
        <v>10</v>
      </c>
      <c r="E37">
        <f t="shared" si="0"/>
        <v>0</v>
      </c>
      <c r="F37">
        <f t="shared" si="3"/>
        <v>32</v>
      </c>
      <c r="G37" t="str">
        <f t="shared" si="1"/>
        <v>0.0%</v>
      </c>
      <c r="H37" t="str">
        <f t="shared" si="2"/>
        <v>Needs Intervention</v>
      </c>
    </row>
  </sheetData>
  <pageMargins left="0.7" right="0.7" top="0.75" bottom="0.75" header="0.3" footer="0.3"/>
  <pageSetup paperSize="9" orientation="portrait" horizontalDpi="0" verticalDpi="0" r:id="rId1"/>
  <ignoredErrors>
    <ignoredError sqref="A1:H1 A3:E37 A2:C2 E2 G2:H2 G3:H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5.6" x14ac:dyDescent="0.3"/>
  <cols>
    <col min="1" max="1" width="28.796875" customWidth="1"/>
    <col min="2" max="2" width="34.796875" customWidth="1"/>
    <col min="3" max="3" width="44.796875" customWidth="1"/>
  </cols>
  <sheetData>
    <row r="1" spans="1:3" x14ac:dyDescent="0.3">
      <c r="A1" t="s">
        <v>83</v>
      </c>
      <c r="B1" t="s">
        <v>84</v>
      </c>
      <c r="C1" t="s">
        <v>85</v>
      </c>
    </row>
    <row r="2" spans="1:3" x14ac:dyDescent="0.3">
      <c r="A2" t="s">
        <v>86</v>
      </c>
      <c r="B2" t="s">
        <v>87</v>
      </c>
      <c r="C2" t="s">
        <v>88</v>
      </c>
    </row>
    <row r="3" spans="1:3" x14ac:dyDescent="0.3">
      <c r="A3" t="s">
        <v>89</v>
      </c>
      <c r="B3" t="s">
        <v>90</v>
      </c>
      <c r="C3" t="s">
        <v>91</v>
      </c>
    </row>
    <row r="4" spans="1:3" x14ac:dyDescent="0.3">
      <c r="A4" t="s">
        <v>92</v>
      </c>
      <c r="B4" t="s">
        <v>93</v>
      </c>
      <c r="C4" t="s">
        <v>94</v>
      </c>
    </row>
    <row r="5" spans="1:3" x14ac:dyDescent="0.3">
      <c r="A5" t="s">
        <v>95</v>
      </c>
      <c r="B5" t="s">
        <v>96</v>
      </c>
      <c r="C5" t="s">
        <v>97</v>
      </c>
    </row>
    <row r="6" spans="1:3" x14ac:dyDescent="0.3">
      <c r="A6" t="s">
        <v>98</v>
      </c>
      <c r="B6" t="s">
        <v>99</v>
      </c>
      <c r="C6" t="s">
        <v>100</v>
      </c>
    </row>
    <row r="7" spans="1:3" x14ac:dyDescent="0.3">
      <c r="A7" t="s">
        <v>101</v>
      </c>
      <c r="B7" t="s">
        <v>101</v>
      </c>
      <c r="C7" t="s">
        <v>101</v>
      </c>
    </row>
    <row r="8" spans="1:3" x14ac:dyDescent="0.3">
      <c r="A8" t="s">
        <v>102</v>
      </c>
      <c r="B8" t="s">
        <v>103</v>
      </c>
      <c r="C8" t="s">
        <v>104</v>
      </c>
    </row>
    <row r="9" spans="1:3" x14ac:dyDescent="0.3">
      <c r="A9" t="s">
        <v>101</v>
      </c>
      <c r="B9" t="s">
        <v>101</v>
      </c>
      <c r="C9" t="s">
        <v>101</v>
      </c>
    </row>
    <row r="10" spans="1:3" x14ac:dyDescent="0.3">
      <c r="A10" t="s">
        <v>105</v>
      </c>
      <c r="B10" t="s">
        <v>106</v>
      </c>
      <c r="C10" t="s">
        <v>101</v>
      </c>
    </row>
    <row r="11" spans="1:3" x14ac:dyDescent="0.3">
      <c r="A11" t="s">
        <v>107</v>
      </c>
      <c r="B11" t="s">
        <v>108</v>
      </c>
      <c r="C11" t="s">
        <v>109</v>
      </c>
    </row>
    <row r="12" spans="1:3" x14ac:dyDescent="0.3">
      <c r="A12" t="s">
        <v>110</v>
      </c>
      <c r="B12" t="s">
        <v>111</v>
      </c>
      <c r="C12" t="s">
        <v>112</v>
      </c>
    </row>
    <row r="13" spans="1:3" x14ac:dyDescent="0.3">
      <c r="A13" t="s">
        <v>113</v>
      </c>
      <c r="B13" t="s">
        <v>114</v>
      </c>
      <c r="C13" t="s">
        <v>115</v>
      </c>
    </row>
    <row r="14" spans="1:3" x14ac:dyDescent="0.3">
      <c r="A14" t="s">
        <v>116</v>
      </c>
      <c r="B14" t="s">
        <v>117</v>
      </c>
      <c r="C14" t="s">
        <v>118</v>
      </c>
    </row>
    <row r="15" spans="1:3" x14ac:dyDescent="0.3">
      <c r="A15" t="s">
        <v>101</v>
      </c>
      <c r="B15" t="s">
        <v>101</v>
      </c>
      <c r="C15" t="s">
        <v>101</v>
      </c>
    </row>
    <row r="16" spans="1:3" x14ac:dyDescent="0.3">
      <c r="A16" t="s">
        <v>119</v>
      </c>
      <c r="B16" t="s">
        <v>120</v>
      </c>
      <c r="C16" t="s">
        <v>121</v>
      </c>
    </row>
    <row r="17" spans="1:3" x14ac:dyDescent="0.3">
      <c r="A17" t="s">
        <v>122</v>
      </c>
      <c r="B17" t="s">
        <v>123</v>
      </c>
      <c r="C17" t="s">
        <v>124</v>
      </c>
    </row>
  </sheetData>
  <pageMargins left="0.7" right="0.7" top="0.75" bottom="0.75" header="0.3" footer="0.3"/>
  <ignoredErrors>
    <ignoredError sqref="A1:C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llacademy.events@gmail.com</cp:lastModifiedBy>
  <dcterms:modified xsi:type="dcterms:W3CDTF">2026-10-14T02:34:16Z</dcterms:modified>
</cp:coreProperties>
</file>