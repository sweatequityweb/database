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LA\Downloads\"/>
    </mc:Choice>
  </mc:AlternateContent>
  <xr:revisionPtr revIDLastSave="0" documentId="13_ncr:1_{45F21B1B-7175-447B-94DE-73064AC607C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ules" sheetId="7" r:id="rId1"/>
    <sheet name="Roster" sheetId="1" r:id="rId2"/>
    <sheet name="Academic" sheetId="2" r:id="rId3"/>
    <sheet name="Community" sheetId="3" r:id="rId4"/>
    <sheet name="Leadership" sheetId="4" r:id="rId5"/>
    <sheet name="Skills" sheetId="5" r:id="rId6"/>
    <sheet name="Parental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1" l="1"/>
  <c r="F40" i="1"/>
  <c r="E40" i="1"/>
  <c r="D40" i="1"/>
  <c r="C40" i="1"/>
  <c r="H40" i="1" s="1"/>
  <c r="I40" i="1" s="1"/>
  <c r="G39" i="1"/>
  <c r="F39" i="1"/>
  <c r="E39" i="1"/>
  <c r="D39" i="1"/>
  <c r="C39" i="1"/>
  <c r="H39" i="1" s="1"/>
  <c r="I39" i="1" s="1"/>
  <c r="G38" i="1"/>
  <c r="F38" i="1"/>
  <c r="E38" i="1"/>
  <c r="D38" i="1"/>
  <c r="C38" i="1"/>
  <c r="H38" i="1" s="1"/>
  <c r="I38" i="1" s="1"/>
  <c r="G37" i="1"/>
  <c r="F37" i="1"/>
  <c r="E37" i="1"/>
  <c r="D37" i="1"/>
  <c r="C37" i="1"/>
  <c r="G36" i="1"/>
  <c r="F36" i="1"/>
  <c r="E36" i="1"/>
  <c r="D36" i="1"/>
  <c r="C36" i="1"/>
  <c r="H36" i="1" s="1"/>
  <c r="I36" i="1" s="1"/>
  <c r="G35" i="1"/>
  <c r="F35" i="1"/>
  <c r="E35" i="1"/>
  <c r="D35" i="1"/>
  <c r="C35" i="1"/>
  <c r="H35" i="1" s="1"/>
  <c r="I35" i="1" s="1"/>
  <c r="G34" i="1"/>
  <c r="F34" i="1"/>
  <c r="E34" i="1"/>
  <c r="D34" i="1"/>
  <c r="C34" i="1"/>
  <c r="G33" i="1"/>
  <c r="F33" i="1"/>
  <c r="E33" i="1"/>
  <c r="D33" i="1"/>
  <c r="C33" i="1"/>
  <c r="H33" i="1" s="1"/>
  <c r="I33" i="1" s="1"/>
  <c r="G32" i="1"/>
  <c r="F32" i="1"/>
  <c r="E32" i="1"/>
  <c r="D32" i="1"/>
  <c r="C32" i="1"/>
  <c r="G31" i="1"/>
  <c r="F31" i="1"/>
  <c r="E31" i="1"/>
  <c r="D31" i="1"/>
  <c r="C31" i="1"/>
  <c r="H31" i="1" s="1"/>
  <c r="I31" i="1" s="1"/>
  <c r="G30" i="1"/>
  <c r="F30" i="1"/>
  <c r="E30" i="1"/>
  <c r="D30" i="1"/>
  <c r="C30" i="1"/>
  <c r="H30" i="1" s="1"/>
  <c r="I30" i="1" s="1"/>
  <c r="G29" i="1"/>
  <c r="F29" i="1"/>
  <c r="E29" i="1"/>
  <c r="D29" i="1"/>
  <c r="C29" i="1"/>
  <c r="H29" i="1" s="1"/>
  <c r="I29" i="1" s="1"/>
  <c r="G28" i="1"/>
  <c r="F28" i="1"/>
  <c r="E28" i="1"/>
  <c r="D28" i="1"/>
  <c r="C28" i="1"/>
  <c r="H28" i="1" s="1"/>
  <c r="I28" i="1" s="1"/>
  <c r="G27" i="1"/>
  <c r="F27" i="1"/>
  <c r="E27" i="1"/>
  <c r="D27" i="1"/>
  <c r="C27" i="1"/>
  <c r="H27" i="1" s="1"/>
  <c r="I27" i="1" s="1"/>
  <c r="G26" i="1"/>
  <c r="F26" i="1"/>
  <c r="E26" i="1"/>
  <c r="D26" i="1"/>
  <c r="C26" i="1"/>
  <c r="H26" i="1" s="1"/>
  <c r="I26" i="1" s="1"/>
  <c r="G25" i="1"/>
  <c r="F25" i="1"/>
  <c r="E25" i="1"/>
  <c r="D25" i="1"/>
  <c r="C25" i="1"/>
  <c r="G24" i="1"/>
  <c r="F24" i="1"/>
  <c r="E24" i="1"/>
  <c r="D24" i="1"/>
  <c r="C24" i="1"/>
  <c r="H24" i="1" s="1"/>
  <c r="I24" i="1" s="1"/>
  <c r="G23" i="1"/>
  <c r="F23" i="1"/>
  <c r="E23" i="1"/>
  <c r="D23" i="1"/>
  <c r="C23" i="1"/>
  <c r="H23" i="1" s="1"/>
  <c r="I23" i="1" s="1"/>
  <c r="G22" i="1"/>
  <c r="F22" i="1"/>
  <c r="E22" i="1"/>
  <c r="D22" i="1"/>
  <c r="C22" i="1"/>
  <c r="G21" i="1"/>
  <c r="F21" i="1"/>
  <c r="E21" i="1"/>
  <c r="D21" i="1"/>
  <c r="C21" i="1"/>
  <c r="H21" i="1" s="1"/>
  <c r="I21" i="1" s="1"/>
  <c r="G20" i="1"/>
  <c r="F20" i="1"/>
  <c r="E20" i="1"/>
  <c r="D20" i="1"/>
  <c r="C20" i="1"/>
  <c r="G19" i="1"/>
  <c r="F19" i="1"/>
  <c r="E19" i="1"/>
  <c r="D19" i="1"/>
  <c r="C19" i="1"/>
  <c r="H19" i="1" s="1"/>
  <c r="I19" i="1" s="1"/>
  <c r="G18" i="1"/>
  <c r="F18" i="1"/>
  <c r="E18" i="1"/>
  <c r="D18" i="1"/>
  <c r="C18" i="1"/>
  <c r="H18" i="1" s="1"/>
  <c r="I18" i="1" s="1"/>
  <c r="G17" i="1"/>
  <c r="F17" i="1"/>
  <c r="E17" i="1"/>
  <c r="D17" i="1"/>
  <c r="C17" i="1"/>
  <c r="H17" i="1" s="1"/>
  <c r="I17" i="1" s="1"/>
  <c r="G16" i="1"/>
  <c r="F16" i="1"/>
  <c r="E16" i="1"/>
  <c r="D16" i="1"/>
  <c r="C16" i="1"/>
  <c r="H16" i="1" s="1"/>
  <c r="I16" i="1" s="1"/>
  <c r="G15" i="1"/>
  <c r="F15" i="1"/>
  <c r="E15" i="1"/>
  <c r="D15" i="1"/>
  <c r="C15" i="1"/>
  <c r="H15" i="1" s="1"/>
  <c r="I15" i="1" s="1"/>
  <c r="G14" i="1"/>
  <c r="F14" i="1"/>
  <c r="E14" i="1"/>
  <c r="D14" i="1"/>
  <c r="C14" i="1"/>
  <c r="H14" i="1" s="1"/>
  <c r="I14" i="1" s="1"/>
  <c r="G13" i="1"/>
  <c r="F13" i="1"/>
  <c r="E13" i="1"/>
  <c r="D13" i="1"/>
  <c r="C13" i="1"/>
  <c r="G12" i="1"/>
  <c r="F12" i="1"/>
  <c r="E12" i="1"/>
  <c r="D12" i="1"/>
  <c r="C12" i="1"/>
  <c r="H12" i="1" s="1"/>
  <c r="I12" i="1" s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H9" i="1" s="1"/>
  <c r="I9" i="1" s="1"/>
  <c r="G8" i="1"/>
  <c r="F8" i="1"/>
  <c r="E8" i="1"/>
  <c r="D8" i="1"/>
  <c r="C8" i="1"/>
  <c r="G7" i="1"/>
  <c r="F7" i="1"/>
  <c r="E7" i="1"/>
  <c r="D7" i="1"/>
  <c r="C7" i="1"/>
  <c r="H7" i="1" s="1"/>
  <c r="I7" i="1" s="1"/>
  <c r="G6" i="1"/>
  <c r="F6" i="1"/>
  <c r="E6" i="1"/>
  <c r="D6" i="1"/>
  <c r="C6" i="1"/>
  <c r="H6" i="1" s="1"/>
  <c r="I6" i="1" s="1"/>
  <c r="G5" i="1"/>
  <c r="F5" i="1"/>
  <c r="E5" i="1"/>
  <c r="D5" i="1"/>
  <c r="C5" i="1"/>
  <c r="H5" i="1" s="1"/>
  <c r="I5" i="1" s="1"/>
  <c r="H34" i="1" l="1"/>
  <c r="I34" i="1" s="1"/>
  <c r="H13" i="1"/>
  <c r="I13" i="1" s="1"/>
  <c r="H20" i="1"/>
  <c r="I20" i="1" s="1"/>
  <c r="H25" i="1"/>
  <c r="I25" i="1" s="1"/>
  <c r="H37" i="1"/>
  <c r="I37" i="1" s="1"/>
  <c r="H22" i="1"/>
  <c r="I22" i="1" s="1"/>
  <c r="H8" i="1"/>
  <c r="I8" i="1" s="1"/>
  <c r="H11" i="1"/>
  <c r="I11" i="1" s="1"/>
  <c r="H32" i="1"/>
  <c r="I32" i="1" s="1"/>
  <c r="H10" i="1"/>
  <c r="I10" i="1" s="1"/>
</calcChain>
</file>

<file path=xl/sharedStrings.xml><?xml version="1.0" encoding="utf-8"?>
<sst xmlns="http://schemas.openxmlformats.org/spreadsheetml/2006/main" count="1870" uniqueCount="198">
  <si>
    <t>SWEAT EQUITY JOURNAL - ROSTER SUMMARY</t>
  </si>
  <si>
    <t>SY 2026-2027  -  Noah Batch  -  Eligibility reviewed every April</t>
  </si>
  <si>
    <t>Household ID</t>
  </si>
  <si>
    <t>Scholar</t>
  </si>
  <si>
    <t>Academic (100)</t>
  </si>
  <si>
    <t>Community (50)</t>
  </si>
  <si>
    <t>Leadership (50)</t>
  </si>
  <si>
    <t>Skills (30)</t>
  </si>
  <si>
    <t>Parental (40)</t>
  </si>
  <si>
    <t>TOTAL</t>
  </si>
  <si>
    <t>Scholar Level</t>
  </si>
  <si>
    <t>HH-001</t>
  </si>
  <si>
    <t>MATEO ASUMEN BOBILES</t>
  </si>
  <si>
    <t>HH-002</t>
  </si>
  <si>
    <t>JUNRISH EBUENGA CAONES</t>
  </si>
  <si>
    <t>HH-003</t>
  </si>
  <si>
    <t>RICHLYN LANDICHO CAPULO</t>
  </si>
  <si>
    <t>HH-004</t>
  </si>
  <si>
    <t>FRANCIS ALLESANDRO CASPE CUSTODIO</t>
  </si>
  <si>
    <t>HH-005</t>
  </si>
  <si>
    <t>REYNIEL ALLEN ROBLES ESCUETA</t>
  </si>
  <si>
    <t>HH-006</t>
  </si>
  <si>
    <t>JOHN CARLO BARRUGA LAZANAS</t>
  </si>
  <si>
    <t>HH-007</t>
  </si>
  <si>
    <t>PHILIP ANDREW CABALLERO LOGRONIO</t>
  </si>
  <si>
    <t>HH-008</t>
  </si>
  <si>
    <t>CANDICE BARLOLAY MOSQUERA</t>
  </si>
  <si>
    <t>HH-009</t>
  </si>
  <si>
    <t>RHEAN MARK MAGANA PACHECO</t>
  </si>
  <si>
    <t>HH-010</t>
  </si>
  <si>
    <t>AKEESHA LIANNE ALCAZAR ROSALES</t>
  </si>
  <si>
    <t>HH-011</t>
  </si>
  <si>
    <t>JOSHUA DAVID RELLATORRES ROSAS</t>
  </si>
  <si>
    <t>HH-012</t>
  </si>
  <si>
    <t>VINCE ARON SANGALANG SUGUITAN</t>
  </si>
  <si>
    <t>HH-013</t>
  </si>
  <si>
    <t>TRICIA YHANIE ABITO BIEN</t>
  </si>
  <si>
    <t>HH-014</t>
  </si>
  <si>
    <t>KRIZZEL CADE AUSTRIA DERLA</t>
  </si>
  <si>
    <t>HH-015</t>
  </si>
  <si>
    <t>HERSHEY MHAORI HERNANDEZ</t>
  </si>
  <si>
    <t>HH-016</t>
  </si>
  <si>
    <t>RHAYNE LUMAG MARTINEZ</t>
  </si>
  <si>
    <t>HH-017</t>
  </si>
  <si>
    <t>KEISHA BRICE PANOPIO MELEGRITO</t>
  </si>
  <si>
    <t>HH-018</t>
  </si>
  <si>
    <t>KYLE BRENAN SAGADRACA MENDOZA</t>
  </si>
  <si>
    <t>HH-019</t>
  </si>
  <si>
    <t>NICOLE ANNE UROT SABAL</t>
  </si>
  <si>
    <t>HH-020</t>
  </si>
  <si>
    <t>AIKEE MIKAELA MIRANDUQUE SANTOS</t>
  </si>
  <si>
    <t>HH-021</t>
  </si>
  <si>
    <t>QUIM DRIZEL QUIMIO TOLENTINO</t>
  </si>
  <si>
    <t>HH-022</t>
  </si>
  <si>
    <t>XYRA HYACINTH RODRIGUEZ CLEOPAS</t>
  </si>
  <si>
    <t>HH-023</t>
  </si>
  <si>
    <t>SAMANTHA RAGODON ECRAELA</t>
  </si>
  <si>
    <t>HH-024</t>
  </si>
  <si>
    <t>FAITH EUNICE FAMILIAR FLORES</t>
  </si>
  <si>
    <t>HH-025</t>
  </si>
  <si>
    <t>ERIC JOSH SANTIAGO GARCIA</t>
  </si>
  <si>
    <t>HH-026</t>
  </si>
  <si>
    <t>ANGELU T. NUMERON</t>
  </si>
  <si>
    <t>HH-027</t>
  </si>
  <si>
    <t>NASH IVAN RAFALLO PANTOJA</t>
  </si>
  <si>
    <t>HH-028</t>
  </si>
  <si>
    <t>ALLYN BAUTISTA RONDINA</t>
  </si>
  <si>
    <t>HH-029</t>
  </si>
  <si>
    <t>HANNA KIMBERLIE VALERA FERNANDEZ</t>
  </si>
  <si>
    <t>HH-030</t>
  </si>
  <si>
    <t>ANYA NATALIE HERNANDEZ DETRUZ</t>
  </si>
  <si>
    <t>HH-031</t>
  </si>
  <si>
    <t>RHAINE JANNELLE SUA NACIONALES</t>
  </si>
  <si>
    <t>HH-032</t>
  </si>
  <si>
    <t>ANDREA NICOLE PAR MERCADO</t>
  </si>
  <si>
    <t>HH-033</t>
  </si>
  <si>
    <t>GRACE ANUYO UMALI</t>
  </si>
  <si>
    <t>HH-034</t>
  </si>
  <si>
    <t>EUSSEY AOE SAN JUAN DEINLA</t>
  </si>
  <si>
    <t>HH-035</t>
  </si>
  <si>
    <t>ARVEL NICOLE TERCERO UMALI</t>
  </si>
  <si>
    <t>HH-036</t>
  </si>
  <si>
    <t>FRANCHESCA LUBANG SISCON</t>
  </si>
  <si>
    <t>ACADEMIC CONTRIBUTIONS (Form A) - Target: 100 points</t>
  </si>
  <si>
    <t>Prerequisite: grade not lower than 90. Recommendations from school principal, advisers, teachers.</t>
  </si>
  <si>
    <t>Point catalog:</t>
  </si>
  <si>
    <t/>
  </si>
  <si>
    <t>- Tutoring peers or younger students - 10 points per session</t>
  </si>
  <si>
    <t>- Presenting at Academic Workshops or Career Fairs - 20 points per presentation</t>
  </si>
  <si>
    <t>- Publishing articles in research projects - 30 points per publication</t>
  </si>
  <si>
    <t>- Participating in Business / Social Outreach Projects - 30 points</t>
  </si>
  <si>
    <t>Attestation: Evaluation, attestation, and recommendation must be given by a school official.</t>
  </si>
  <si>
    <t>DATA ENTRIES - one row per activity</t>
  </si>
  <si>
    <t>Date</t>
  </si>
  <si>
    <t>Activity / Role</t>
  </si>
  <si>
    <t>Description</t>
  </si>
  <si>
    <t>Points Earned</t>
  </si>
  <si>
    <t>Evidence / Supporting Documents</t>
  </si>
  <si>
    <t>Attested By / Signature</t>
  </si>
  <si>
    <t>COMMUNITY ENGAGEMENT (Form B) - Target: 50 points</t>
  </si>
  <si>
    <t>- Participating in Community Service Projects - 5 points per hour</t>
  </si>
  <si>
    <t>- Organizing Community Events (literacy, feeding, community garden, clean-up, food drive) - 15 points per event</t>
  </si>
  <si>
    <t>- Mentoring Younger Students or Peers - 10 points per mentee</t>
  </si>
  <si>
    <t>Attestation: Attested by a community official. Supporting documents: portfolio of activities (pictures / videos).</t>
  </si>
  <si>
    <t>LEADERSHIP ACTIVITIES (Form C) - Target: 50 points</t>
  </si>
  <si>
    <t>- Holding a position in a student, civic, or club organization - 20 points</t>
  </si>
  <si>
    <t>- Leading a Team Project or Initiative - 15 points per project</t>
  </si>
  <si>
    <t>- Facilitating Workshop or Peer Discussions - 10 points per session</t>
  </si>
  <si>
    <t>Attestation: Attested by club adviser or official. Supported by portfolio of pictures.</t>
  </si>
  <si>
    <t>SKILL DEVELOPMENT (Form D) - Target: 30 points</t>
  </si>
  <si>
    <t>- Attending Leadership or Skill-Building Workshops / Practices - 10 points per workshop</t>
  </si>
  <si>
    <t>- Participation in Internship or Job Shadowing - 20 points per internship</t>
  </si>
  <si>
    <t>- Completing Online Courses or Certification - 15 points per course</t>
  </si>
  <si>
    <t>Attestation: Supporting evidence: certificate presentation.</t>
  </si>
  <si>
    <t>PARENTAL INVOLVEMENT (Form E) - Target: 40 points</t>
  </si>
  <si>
    <t>- Attendance in School Events - 5 points per event</t>
  </si>
  <si>
    <t>- Volunteering in School Activities and Committees - 15 points per involvement</t>
  </si>
  <si>
    <t>- Active Participation in Family Workshops or Educational Sessions endorsed by the school - 10 points per workshop</t>
  </si>
  <si>
    <t>Attestation: Supporting documents: attendance log.</t>
  </si>
  <si>
    <t>SWEAT EQUITY POINT SYSTEM - REFERENCE</t>
  </si>
  <si>
    <t>SY 2026-2027  -  reviewed every April</t>
  </si>
  <si>
    <t>THE FIVE DIMENSIONS</t>
  </si>
  <si>
    <t>Dimension</t>
  </si>
  <si>
    <t>Target Points</t>
  </si>
  <si>
    <t>Who attests</t>
  </si>
  <si>
    <t>Academic Contributions</t>
  </si>
  <si>
    <t>School principal, advisers, teachers</t>
  </si>
  <si>
    <t>Community Engagement</t>
  </si>
  <si>
    <t>Community official</t>
  </si>
  <si>
    <t>Leadership Activities</t>
  </si>
  <si>
    <t>Club adviser or official</t>
  </si>
  <si>
    <t>Skill Development</t>
  </si>
  <si>
    <t>Certificate presentation</t>
  </si>
  <si>
    <t>Parental Involvement</t>
  </si>
  <si>
    <t>Attendance log</t>
  </si>
  <si>
    <t>TOTAL POSSIBLE</t>
  </si>
  <si>
    <t>ACADEMIC CONTRIBUTIONS (100 points)</t>
  </si>
  <si>
    <t>Activity</t>
  </si>
  <si>
    <t>Points</t>
  </si>
  <si>
    <t>Tutoring peers or younger students</t>
  </si>
  <si>
    <t>10 per session</t>
  </si>
  <si>
    <t>Presenting at academic workshops or career fairs</t>
  </si>
  <si>
    <t>20 per presentation</t>
  </si>
  <si>
    <t>Publishing articles in research projects</t>
  </si>
  <si>
    <t>30 per publication</t>
  </si>
  <si>
    <t>Participating in business / social outreach projects</t>
  </si>
  <si>
    <t>30</t>
  </si>
  <si>
    <t>COMMUNITY ENGAGEMENT (50 points)</t>
  </si>
  <si>
    <t>Participating in community service projects</t>
  </si>
  <si>
    <t>5 per hour</t>
  </si>
  <si>
    <t>Organizing community events</t>
  </si>
  <si>
    <t>15 per event</t>
  </si>
  <si>
    <t>Mentoring younger students or peers</t>
  </si>
  <si>
    <t>10 per mentee</t>
  </si>
  <si>
    <t>LEADERSHIP ACTIVITIES (50 points)</t>
  </si>
  <si>
    <t>Holding a position in student / civic organization or club</t>
  </si>
  <si>
    <t>20</t>
  </si>
  <si>
    <t>Leading a team project or initiative</t>
  </si>
  <si>
    <t>15 per project</t>
  </si>
  <si>
    <t>Facilitating workshop or peer discussions</t>
  </si>
  <si>
    <t>SKILL DEVELOPMENT (30 points)</t>
  </si>
  <si>
    <t>Attending leadership or skill-building workshops / practices</t>
  </si>
  <si>
    <t>10 per workshop</t>
  </si>
  <si>
    <t>Participation in internship or job shadowing</t>
  </si>
  <si>
    <t>20 per internship</t>
  </si>
  <si>
    <t>Completing online courses or certification</t>
  </si>
  <si>
    <t>15 per course</t>
  </si>
  <si>
    <t>PARENTAL INVOLVEMENT (40 points)</t>
  </si>
  <si>
    <t>Attendance in school events</t>
  </si>
  <si>
    <t>5 per event</t>
  </si>
  <si>
    <t>Volunteering in school activities and school committees</t>
  </si>
  <si>
    <t>15 per involvement</t>
  </si>
  <si>
    <t>Active participation in family workshops or educational sessions</t>
  </si>
  <si>
    <t>SCHOLAR LEVELS (reviewed every April)</t>
  </si>
  <si>
    <t>Level</t>
  </si>
  <si>
    <t>Scholarship / Recognition</t>
  </si>
  <si>
    <t>Level 1</t>
  </si>
  <si>
    <t>1-100</t>
  </si>
  <si>
    <t>25% scholarship and/or stipend. Base recognition for student contributions alone.</t>
  </si>
  <si>
    <t>Level 2</t>
  </si>
  <si>
    <t>101-150</t>
  </si>
  <si>
    <t>50% scholarship and/or stipend. Recognition of both student and parental contributions.</t>
  </si>
  <si>
    <t>Level 3</t>
  </si>
  <si>
    <t>151-200</t>
  </si>
  <si>
    <t>75% scholarship and/or stipend. Special recognition for significant combined effort.</t>
  </si>
  <si>
    <t>Level 4</t>
  </si>
  <si>
    <t>201+</t>
  </si>
  <si>
    <t>100% scholarship and/or stipend. Eligibility for awards and special honors.</t>
  </si>
  <si>
    <t>PROCESS</t>
  </si>
  <si>
    <t>1.</t>
  </si>
  <si>
    <t>Log student and parent activities in the online portal.</t>
  </si>
  <si>
    <t>2.</t>
  </si>
  <si>
    <t>Require signature from school staff and event organizers.</t>
  </si>
  <si>
    <t>3.</t>
  </si>
  <si>
    <t>Conduct mid-year and end-of-year assessments to evaluate point totals.</t>
  </si>
  <si>
    <t>4.</t>
  </si>
  <si>
    <t>Give feedback and celebrate achievements.</t>
  </si>
  <si>
    <t>Scholar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</si>
</sst>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9" defaultPivotStyle="PivotStyleMedium4"/>
  <colors>
    <mruColors>
      <color rgb="FFFFFF66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5"/>
  <sheetViews>
    <sheetView workbookViewId="0"/>
  </sheetViews>
  <sheetFormatPr defaultRowHeight="14.4" x14ac:dyDescent="0.3"/>
  <cols>
    <col min="1" max="1" width="62.796875" customWidth="1"/>
    <col min="2" max="2" width="18.796875" customWidth="1"/>
    <col min="3" max="3" width="60.796875" customWidth="1"/>
  </cols>
  <sheetData>
    <row r="1" spans="1:3" ht="15.6" x14ac:dyDescent="0.3">
      <c r="A1" t="s">
        <v>119</v>
      </c>
    </row>
    <row r="2" spans="1:3" ht="15.6" x14ac:dyDescent="0.3">
      <c r="A2" t="s">
        <v>120</v>
      </c>
    </row>
    <row r="4" spans="1:3" ht="15.6" x14ac:dyDescent="0.3">
      <c r="A4" t="s">
        <v>121</v>
      </c>
    </row>
    <row r="5" spans="1:3" ht="15.6" x14ac:dyDescent="0.3">
      <c r="A5" t="s">
        <v>122</v>
      </c>
      <c r="B5" t="s">
        <v>123</v>
      </c>
      <c r="C5" t="s">
        <v>124</v>
      </c>
    </row>
    <row r="6" spans="1:3" ht="15.6" x14ac:dyDescent="0.3">
      <c r="A6" t="s">
        <v>125</v>
      </c>
      <c r="B6">
        <v>100</v>
      </c>
      <c r="C6" t="s">
        <v>126</v>
      </c>
    </row>
    <row r="7" spans="1:3" ht="15.6" x14ac:dyDescent="0.3">
      <c r="A7" t="s">
        <v>127</v>
      </c>
      <c r="B7">
        <v>50</v>
      </c>
      <c r="C7" t="s">
        <v>128</v>
      </c>
    </row>
    <row r="8" spans="1:3" ht="15.6" x14ac:dyDescent="0.3">
      <c r="A8" t="s">
        <v>129</v>
      </c>
      <c r="B8">
        <v>50</v>
      </c>
      <c r="C8" t="s">
        <v>130</v>
      </c>
    </row>
    <row r="9" spans="1:3" ht="15.6" x14ac:dyDescent="0.3">
      <c r="A9" t="s">
        <v>131</v>
      </c>
      <c r="B9">
        <v>30</v>
      </c>
      <c r="C9" t="s">
        <v>132</v>
      </c>
    </row>
    <row r="10" spans="1:3" ht="15.6" x14ac:dyDescent="0.3">
      <c r="A10" t="s">
        <v>133</v>
      </c>
      <c r="B10">
        <v>40</v>
      </c>
      <c r="C10" t="s">
        <v>134</v>
      </c>
    </row>
    <row r="11" spans="1:3" ht="15.6" x14ac:dyDescent="0.3">
      <c r="A11" t="s">
        <v>135</v>
      </c>
      <c r="B11">
        <v>270</v>
      </c>
      <c r="C11" t="s">
        <v>86</v>
      </c>
    </row>
    <row r="13" spans="1:3" ht="15.6" x14ac:dyDescent="0.3">
      <c r="A13" t="s">
        <v>136</v>
      </c>
    </row>
    <row r="14" spans="1:3" ht="15.6" x14ac:dyDescent="0.3">
      <c r="A14" t="s">
        <v>137</v>
      </c>
      <c r="B14" t="s">
        <v>138</v>
      </c>
    </row>
    <row r="15" spans="1:3" ht="15.6" x14ac:dyDescent="0.3">
      <c r="A15" t="s">
        <v>139</v>
      </c>
      <c r="B15" t="s">
        <v>140</v>
      </c>
    </row>
    <row r="16" spans="1:3" ht="15.6" x14ac:dyDescent="0.3">
      <c r="A16" t="s">
        <v>141</v>
      </c>
      <c r="B16" t="s">
        <v>142</v>
      </c>
    </row>
    <row r="17" spans="1:2" ht="15.6" x14ac:dyDescent="0.3">
      <c r="A17" t="s">
        <v>143</v>
      </c>
      <c r="B17" t="s">
        <v>144</v>
      </c>
    </row>
    <row r="18" spans="1:2" ht="15.6" x14ac:dyDescent="0.3">
      <c r="A18" t="s">
        <v>145</v>
      </c>
      <c r="B18" t="s">
        <v>146</v>
      </c>
    </row>
    <row r="20" spans="1:2" ht="15.6" x14ac:dyDescent="0.3">
      <c r="A20" t="s">
        <v>147</v>
      </c>
    </row>
    <row r="21" spans="1:2" ht="15.6" x14ac:dyDescent="0.3">
      <c r="A21" t="s">
        <v>137</v>
      </c>
      <c r="B21" t="s">
        <v>138</v>
      </c>
    </row>
    <row r="22" spans="1:2" ht="15.6" x14ac:dyDescent="0.3">
      <c r="A22" t="s">
        <v>148</v>
      </c>
      <c r="B22" t="s">
        <v>149</v>
      </c>
    </row>
    <row r="23" spans="1:2" ht="15.6" x14ac:dyDescent="0.3">
      <c r="A23" t="s">
        <v>150</v>
      </c>
      <c r="B23" t="s">
        <v>151</v>
      </c>
    </row>
    <row r="24" spans="1:2" ht="15.6" x14ac:dyDescent="0.3">
      <c r="A24" t="s">
        <v>152</v>
      </c>
      <c r="B24" t="s">
        <v>153</v>
      </c>
    </row>
    <row r="26" spans="1:2" ht="15.6" x14ac:dyDescent="0.3">
      <c r="A26" t="s">
        <v>154</v>
      </c>
    </row>
    <row r="27" spans="1:2" ht="15.6" x14ac:dyDescent="0.3">
      <c r="A27" t="s">
        <v>137</v>
      </c>
      <c r="B27" t="s">
        <v>138</v>
      </c>
    </row>
    <row r="28" spans="1:2" ht="15.6" x14ac:dyDescent="0.3">
      <c r="A28" t="s">
        <v>155</v>
      </c>
      <c r="B28" t="s">
        <v>156</v>
      </c>
    </row>
    <row r="29" spans="1:2" ht="15.6" x14ac:dyDescent="0.3">
      <c r="A29" t="s">
        <v>157</v>
      </c>
      <c r="B29" t="s">
        <v>158</v>
      </c>
    </row>
    <row r="30" spans="1:2" ht="15.6" x14ac:dyDescent="0.3">
      <c r="A30" t="s">
        <v>159</v>
      </c>
      <c r="B30" t="s">
        <v>140</v>
      </c>
    </row>
    <row r="32" spans="1:2" ht="15.6" x14ac:dyDescent="0.3">
      <c r="A32" t="s">
        <v>160</v>
      </c>
    </row>
    <row r="33" spans="1:3" ht="15.6" x14ac:dyDescent="0.3">
      <c r="A33" t="s">
        <v>137</v>
      </c>
      <c r="B33" t="s">
        <v>138</v>
      </c>
    </row>
    <row r="34" spans="1:3" ht="15.6" x14ac:dyDescent="0.3">
      <c r="A34" t="s">
        <v>161</v>
      </c>
      <c r="B34" t="s">
        <v>162</v>
      </c>
    </row>
    <row r="35" spans="1:3" ht="15.6" x14ac:dyDescent="0.3">
      <c r="A35" t="s">
        <v>163</v>
      </c>
      <c r="B35" t="s">
        <v>164</v>
      </c>
    </row>
    <row r="36" spans="1:3" ht="15.6" x14ac:dyDescent="0.3">
      <c r="A36" t="s">
        <v>165</v>
      </c>
      <c r="B36" t="s">
        <v>166</v>
      </c>
    </row>
    <row r="38" spans="1:3" ht="15.6" x14ac:dyDescent="0.3">
      <c r="A38" t="s">
        <v>167</v>
      </c>
    </row>
    <row r="39" spans="1:3" ht="15.6" x14ac:dyDescent="0.3">
      <c r="A39" t="s">
        <v>137</v>
      </c>
      <c r="B39" t="s">
        <v>138</v>
      </c>
    </row>
    <row r="40" spans="1:3" ht="15.6" x14ac:dyDescent="0.3">
      <c r="A40" t="s">
        <v>168</v>
      </c>
      <c r="B40" t="s">
        <v>169</v>
      </c>
    </row>
    <row r="41" spans="1:3" ht="15.6" x14ac:dyDescent="0.3">
      <c r="A41" t="s">
        <v>170</v>
      </c>
      <c r="B41" t="s">
        <v>171</v>
      </c>
    </row>
    <row r="42" spans="1:3" ht="15.6" x14ac:dyDescent="0.3">
      <c r="A42" t="s">
        <v>172</v>
      </c>
      <c r="B42" t="s">
        <v>162</v>
      </c>
    </row>
    <row r="44" spans="1:3" ht="15.6" x14ac:dyDescent="0.3">
      <c r="A44" t="s">
        <v>173</v>
      </c>
    </row>
    <row r="45" spans="1:3" ht="15.6" x14ac:dyDescent="0.3">
      <c r="A45" t="s">
        <v>174</v>
      </c>
      <c r="B45" t="s">
        <v>138</v>
      </c>
      <c r="C45" t="s">
        <v>175</v>
      </c>
    </row>
    <row r="46" spans="1:3" ht="15.6" x14ac:dyDescent="0.3">
      <c r="A46" t="s">
        <v>176</v>
      </c>
      <c r="B46" t="s">
        <v>177</v>
      </c>
      <c r="C46" t="s">
        <v>178</v>
      </c>
    </row>
    <row r="47" spans="1:3" ht="15.6" x14ac:dyDescent="0.3">
      <c r="A47" t="s">
        <v>179</v>
      </c>
      <c r="B47" t="s">
        <v>180</v>
      </c>
      <c r="C47" t="s">
        <v>181</v>
      </c>
    </row>
    <row r="48" spans="1:3" ht="15.6" x14ac:dyDescent="0.3">
      <c r="A48" t="s">
        <v>182</v>
      </c>
      <c r="B48" t="s">
        <v>183</v>
      </c>
      <c r="C48" t="s">
        <v>184</v>
      </c>
    </row>
    <row r="49" spans="1:3" ht="15.6" x14ac:dyDescent="0.3">
      <c r="A49" t="s">
        <v>185</v>
      </c>
      <c r="B49" t="s">
        <v>186</v>
      </c>
      <c r="C49" t="s">
        <v>187</v>
      </c>
    </row>
    <row r="51" spans="1:3" ht="15.6" x14ac:dyDescent="0.3">
      <c r="A51" t="s">
        <v>188</v>
      </c>
    </row>
    <row r="52" spans="1:3" ht="15.6" x14ac:dyDescent="0.3">
      <c r="A52" t="s">
        <v>189</v>
      </c>
      <c r="B52" t="s">
        <v>190</v>
      </c>
    </row>
    <row r="53" spans="1:3" ht="15.6" x14ac:dyDescent="0.3">
      <c r="A53" t="s">
        <v>191</v>
      </c>
      <c r="B53" t="s">
        <v>192</v>
      </c>
    </row>
    <row r="54" spans="1:3" ht="15.6" x14ac:dyDescent="0.3">
      <c r="A54" t="s">
        <v>193</v>
      </c>
      <c r="B54" t="s">
        <v>194</v>
      </c>
    </row>
    <row r="55" spans="1:3" ht="15.6" x14ac:dyDescent="0.3">
      <c r="A55" t="s">
        <v>195</v>
      </c>
      <c r="B55" t="s">
        <v>196</v>
      </c>
    </row>
  </sheetData>
  <pageMargins left="0.7" right="0.7" top="0.75" bottom="0.75" header="0.3" footer="0.3"/>
  <ignoredErrors>
    <ignoredError sqref="A1:C5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workbookViewId="0">
      <selection activeCell="B8" sqref="B8"/>
    </sheetView>
  </sheetViews>
  <sheetFormatPr defaultRowHeight="14.4" x14ac:dyDescent="0.3"/>
  <cols>
    <col min="1" max="1" width="12.796875" customWidth="1"/>
    <col min="2" max="2" width="34.796875" customWidth="1"/>
    <col min="3" max="5" width="14.796875" customWidth="1"/>
    <col min="6" max="7" width="12.796875" customWidth="1"/>
    <col min="8" max="8" width="10.796875" customWidth="1"/>
    <col min="9" max="9" width="32.796875" customWidth="1"/>
  </cols>
  <sheetData>
    <row r="1" spans="1:9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ht="15.6" x14ac:dyDescent="0.3">
      <c r="A2" s="1" t="s">
        <v>1</v>
      </c>
      <c r="B2" s="1"/>
      <c r="C2" s="1"/>
      <c r="D2" s="1"/>
      <c r="E2" s="1"/>
      <c r="F2" s="1"/>
      <c r="G2" s="1"/>
      <c r="H2" s="1"/>
      <c r="I2" s="1"/>
    </row>
    <row r="3" spans="1:9" ht="16.2" thickBot="1" x14ac:dyDescent="0.35"/>
    <row r="4" spans="1:9" ht="16.2" thickBot="1" x14ac:dyDescent="0.35">
      <c r="A4" s="22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6" t="s">
        <v>10</v>
      </c>
    </row>
    <row r="5" spans="1:9" ht="15.6" x14ac:dyDescent="0.3">
      <c r="A5" s="4" t="s">
        <v>11</v>
      </c>
      <c r="B5" s="4" t="s">
        <v>12</v>
      </c>
      <c r="C5" s="4">
        <f>SUMIF(Academic!A:A,B5,Academic!F:F)</f>
        <v>0</v>
      </c>
      <c r="D5" s="4">
        <f>SUMIF(Community!A:A,B5,Community!F:F)</f>
        <v>0</v>
      </c>
      <c r="E5" s="4">
        <f>SUMIF(Leadership!A:A,B5,Leadership!F:F)</f>
        <v>0</v>
      </c>
      <c r="F5" s="4">
        <f>SUMIF(Skills!A:A,B5,Skills!F:F)</f>
        <v>0</v>
      </c>
      <c r="G5" s="4">
        <f>SUMIF(Parental!A:A,B5,Parental!F:F)</f>
        <v>0</v>
      </c>
      <c r="H5" s="4">
        <f t="shared" ref="H5:H40" si="0">SUM(C5:G5)</f>
        <v>0</v>
      </c>
      <c r="I5" s="4" t="str">
        <f t="shared" ref="I5:I40" si="1">IF(H5&gt;=201,"Level 4 - 100% (awards / honors)",IF(H5&gt;=151,"Level 3 - 75%",IF(H5&gt;=101,"Level 2 - 50%",IF(H5&gt;=1,"Level 1 - 25%","-"))))</f>
        <v>-</v>
      </c>
    </row>
    <row r="6" spans="1:9" ht="15.6" x14ac:dyDescent="0.3">
      <c r="A6" s="2" t="s">
        <v>13</v>
      </c>
      <c r="B6" s="2" t="s">
        <v>14</v>
      </c>
      <c r="C6" s="2">
        <f>SUMIF(Academic!A:A,B6,Academic!F:F)</f>
        <v>0</v>
      </c>
      <c r="D6" s="2">
        <f>SUMIF(Community!A:A,B6,Community!F:F)</f>
        <v>0</v>
      </c>
      <c r="E6" s="2">
        <f>SUMIF(Leadership!A:A,B6,Leadership!F:F)</f>
        <v>0</v>
      </c>
      <c r="F6" s="2">
        <f>SUMIF(Skills!A:A,B6,Skills!F:F)</f>
        <v>0</v>
      </c>
      <c r="G6" s="2">
        <f>SUMIF(Parental!A:A,B6,Parental!F:F)</f>
        <v>0</v>
      </c>
      <c r="H6" s="2">
        <f t="shared" si="0"/>
        <v>0</v>
      </c>
      <c r="I6" s="2" t="str">
        <f t="shared" si="1"/>
        <v>-</v>
      </c>
    </row>
    <row r="7" spans="1:9" ht="15.6" x14ac:dyDescent="0.3">
      <c r="A7" s="2" t="s">
        <v>15</v>
      </c>
      <c r="B7" s="2" t="s">
        <v>16</v>
      </c>
      <c r="C7" s="2">
        <f>SUMIF(Academic!A:A,B7,Academic!F:F)</f>
        <v>0</v>
      </c>
      <c r="D7" s="2">
        <f>SUMIF(Community!A:A,B7,Community!F:F)</f>
        <v>0</v>
      </c>
      <c r="E7" s="2">
        <f>SUMIF(Leadership!A:A,B7,Leadership!F:F)</f>
        <v>0</v>
      </c>
      <c r="F7" s="2">
        <f>SUMIF(Skills!A:A,B7,Skills!F:F)</f>
        <v>0</v>
      </c>
      <c r="G7" s="2">
        <f>SUMIF(Parental!A:A,B7,Parental!F:F)</f>
        <v>0</v>
      </c>
      <c r="H7" s="2">
        <f t="shared" si="0"/>
        <v>0</v>
      </c>
      <c r="I7" s="2" t="str">
        <f t="shared" si="1"/>
        <v>-</v>
      </c>
    </row>
    <row r="8" spans="1:9" ht="15.6" x14ac:dyDescent="0.3">
      <c r="A8" s="2" t="s">
        <v>17</v>
      </c>
      <c r="B8" s="2" t="s">
        <v>18</v>
      </c>
      <c r="C8" s="2">
        <f>SUMIF(Academic!A:A,B8,Academic!F:F)</f>
        <v>0</v>
      </c>
      <c r="D8" s="2">
        <f>SUMIF(Community!A:A,B8,Community!F:F)</f>
        <v>0</v>
      </c>
      <c r="E8" s="2">
        <f>SUMIF(Leadership!A:A,B8,Leadership!F:F)</f>
        <v>0</v>
      </c>
      <c r="F8" s="2">
        <f>SUMIF(Skills!A:A,B8,Skills!F:F)</f>
        <v>0</v>
      </c>
      <c r="G8" s="2">
        <f>SUMIF(Parental!A:A,B8,Parental!F:F)</f>
        <v>0</v>
      </c>
      <c r="H8" s="2">
        <f t="shared" si="0"/>
        <v>0</v>
      </c>
      <c r="I8" s="2" t="str">
        <f t="shared" si="1"/>
        <v>-</v>
      </c>
    </row>
    <row r="9" spans="1:9" ht="15.6" x14ac:dyDescent="0.3">
      <c r="A9" s="2" t="s">
        <v>19</v>
      </c>
      <c r="B9" s="2" t="s">
        <v>20</v>
      </c>
      <c r="C9" s="2">
        <f>SUMIF(Academic!A:A,B9,Academic!F:F)</f>
        <v>0</v>
      </c>
      <c r="D9" s="2">
        <f>SUMIF(Community!A:A,B9,Community!F:F)</f>
        <v>0</v>
      </c>
      <c r="E9" s="2">
        <f>SUMIF(Leadership!A:A,B9,Leadership!F:F)</f>
        <v>0</v>
      </c>
      <c r="F9" s="2">
        <f>SUMIF(Skills!A:A,B9,Skills!F:F)</f>
        <v>0</v>
      </c>
      <c r="G9" s="2">
        <f>SUMIF(Parental!A:A,B9,Parental!F:F)</f>
        <v>0</v>
      </c>
      <c r="H9" s="2">
        <f t="shared" si="0"/>
        <v>0</v>
      </c>
      <c r="I9" s="2" t="str">
        <f t="shared" si="1"/>
        <v>-</v>
      </c>
    </row>
    <row r="10" spans="1:9" ht="15.6" x14ac:dyDescent="0.3">
      <c r="A10" s="2" t="s">
        <v>21</v>
      </c>
      <c r="B10" s="2" t="s">
        <v>22</v>
      </c>
      <c r="C10" s="2">
        <f>SUMIF(Academic!A:A,B10,Academic!F:F)</f>
        <v>0</v>
      </c>
      <c r="D10" s="2">
        <f>SUMIF(Community!A:A,B10,Community!F:F)</f>
        <v>0</v>
      </c>
      <c r="E10" s="2">
        <f>SUMIF(Leadership!A:A,B10,Leadership!F:F)</f>
        <v>0</v>
      </c>
      <c r="F10" s="2">
        <f>SUMIF(Skills!A:A,B10,Skills!F:F)</f>
        <v>0</v>
      </c>
      <c r="G10" s="2">
        <f>SUMIF(Parental!A:A,B10,Parental!F:F)</f>
        <v>0</v>
      </c>
      <c r="H10" s="2">
        <f t="shared" si="0"/>
        <v>0</v>
      </c>
      <c r="I10" s="2" t="str">
        <f t="shared" si="1"/>
        <v>-</v>
      </c>
    </row>
    <row r="11" spans="1:9" ht="15.6" x14ac:dyDescent="0.3">
      <c r="A11" s="2" t="s">
        <v>23</v>
      </c>
      <c r="B11" s="2" t="s">
        <v>24</v>
      </c>
      <c r="C11" s="2">
        <f>SUMIF(Academic!A:A,B11,Academic!F:F)</f>
        <v>0</v>
      </c>
      <c r="D11" s="2">
        <f>SUMIF(Community!A:A,B11,Community!F:F)</f>
        <v>0</v>
      </c>
      <c r="E11" s="2">
        <f>SUMIF(Leadership!A:A,B11,Leadership!F:F)</f>
        <v>0</v>
      </c>
      <c r="F11" s="2">
        <f>SUMIF(Skills!A:A,B11,Skills!F:F)</f>
        <v>0</v>
      </c>
      <c r="G11" s="2">
        <f>SUMIF(Parental!A:A,B11,Parental!F:F)</f>
        <v>0</v>
      </c>
      <c r="H11" s="2">
        <f t="shared" si="0"/>
        <v>0</v>
      </c>
      <c r="I11" s="2" t="str">
        <f t="shared" si="1"/>
        <v>-</v>
      </c>
    </row>
    <row r="12" spans="1:9" ht="15.6" x14ac:dyDescent="0.3">
      <c r="A12" s="2" t="s">
        <v>25</v>
      </c>
      <c r="B12" s="2" t="s">
        <v>26</v>
      </c>
      <c r="C12" s="2">
        <f>SUMIF(Academic!A:A,B12,Academic!F:F)</f>
        <v>0</v>
      </c>
      <c r="D12" s="2">
        <f>SUMIF(Community!A:A,B12,Community!F:F)</f>
        <v>0</v>
      </c>
      <c r="E12" s="2">
        <f>SUMIF(Leadership!A:A,B12,Leadership!F:F)</f>
        <v>0</v>
      </c>
      <c r="F12" s="2">
        <f>SUMIF(Skills!A:A,B12,Skills!F:F)</f>
        <v>0</v>
      </c>
      <c r="G12" s="2">
        <f>SUMIF(Parental!A:A,B12,Parental!F:F)</f>
        <v>0</v>
      </c>
      <c r="H12" s="2">
        <f t="shared" si="0"/>
        <v>0</v>
      </c>
      <c r="I12" s="2" t="str">
        <f t="shared" si="1"/>
        <v>-</v>
      </c>
    </row>
    <row r="13" spans="1:9" ht="15.6" x14ac:dyDescent="0.3">
      <c r="A13" s="2" t="s">
        <v>27</v>
      </c>
      <c r="B13" s="2" t="s">
        <v>28</v>
      </c>
      <c r="C13" s="2">
        <f>SUMIF(Academic!A:A,B13,Academic!F:F)</f>
        <v>0</v>
      </c>
      <c r="D13" s="2">
        <f>SUMIF(Community!A:A,B13,Community!F:F)</f>
        <v>0</v>
      </c>
      <c r="E13" s="2">
        <f>SUMIF(Leadership!A:A,B13,Leadership!F:F)</f>
        <v>0</v>
      </c>
      <c r="F13" s="2">
        <f>SUMIF(Skills!A:A,B13,Skills!F:F)</f>
        <v>0</v>
      </c>
      <c r="G13" s="2">
        <f>SUMIF(Parental!A:A,B13,Parental!F:F)</f>
        <v>0</v>
      </c>
      <c r="H13" s="2">
        <f t="shared" si="0"/>
        <v>0</v>
      </c>
      <c r="I13" s="2" t="str">
        <f t="shared" si="1"/>
        <v>-</v>
      </c>
    </row>
    <row r="14" spans="1:9" ht="15.6" x14ac:dyDescent="0.3">
      <c r="A14" s="2" t="s">
        <v>29</v>
      </c>
      <c r="B14" s="2" t="s">
        <v>30</v>
      </c>
      <c r="C14" s="2">
        <f>SUMIF(Academic!A:A,B14,Academic!F:F)</f>
        <v>0</v>
      </c>
      <c r="D14" s="2">
        <f>SUMIF(Community!A:A,B14,Community!F:F)</f>
        <v>0</v>
      </c>
      <c r="E14" s="2">
        <f>SUMIF(Leadership!A:A,B14,Leadership!F:F)</f>
        <v>0</v>
      </c>
      <c r="F14" s="2">
        <f>SUMIF(Skills!A:A,B14,Skills!F:F)</f>
        <v>0</v>
      </c>
      <c r="G14" s="2">
        <f>SUMIF(Parental!A:A,B14,Parental!F:F)</f>
        <v>0</v>
      </c>
      <c r="H14" s="2">
        <f t="shared" si="0"/>
        <v>0</v>
      </c>
      <c r="I14" s="2" t="str">
        <f t="shared" si="1"/>
        <v>-</v>
      </c>
    </row>
    <row r="15" spans="1:9" ht="15.6" x14ac:dyDescent="0.3">
      <c r="A15" s="2" t="s">
        <v>31</v>
      </c>
      <c r="B15" s="2" t="s">
        <v>32</v>
      </c>
      <c r="C15" s="2">
        <f>SUMIF(Academic!A:A,B15,Academic!F:F)</f>
        <v>0</v>
      </c>
      <c r="D15" s="2">
        <f>SUMIF(Community!A:A,B15,Community!F:F)</f>
        <v>0</v>
      </c>
      <c r="E15" s="2">
        <f>SUMIF(Leadership!A:A,B15,Leadership!F:F)</f>
        <v>0</v>
      </c>
      <c r="F15" s="2">
        <f>SUMIF(Skills!A:A,B15,Skills!F:F)</f>
        <v>0</v>
      </c>
      <c r="G15" s="2">
        <f>SUMIF(Parental!A:A,B15,Parental!F:F)</f>
        <v>0</v>
      </c>
      <c r="H15" s="2">
        <f t="shared" si="0"/>
        <v>0</v>
      </c>
      <c r="I15" s="2" t="str">
        <f t="shared" si="1"/>
        <v>-</v>
      </c>
    </row>
    <row r="16" spans="1:9" ht="15.6" x14ac:dyDescent="0.3">
      <c r="A16" s="2" t="s">
        <v>33</v>
      </c>
      <c r="B16" s="2" t="s">
        <v>34</v>
      </c>
      <c r="C16" s="2">
        <f>SUMIF(Academic!A:A,B16,Academic!F:F)</f>
        <v>0</v>
      </c>
      <c r="D16" s="2">
        <f>SUMIF(Community!A:A,B16,Community!F:F)</f>
        <v>0</v>
      </c>
      <c r="E16" s="2">
        <f>SUMIF(Leadership!A:A,B16,Leadership!F:F)</f>
        <v>0</v>
      </c>
      <c r="F16" s="2">
        <f>SUMIF(Skills!A:A,B16,Skills!F:F)</f>
        <v>0</v>
      </c>
      <c r="G16" s="2">
        <f>SUMIF(Parental!A:A,B16,Parental!F:F)</f>
        <v>0</v>
      </c>
      <c r="H16" s="2">
        <f t="shared" si="0"/>
        <v>0</v>
      </c>
      <c r="I16" s="2" t="str">
        <f t="shared" si="1"/>
        <v>-</v>
      </c>
    </row>
    <row r="17" spans="1:9" ht="15.6" x14ac:dyDescent="0.3">
      <c r="A17" s="2" t="s">
        <v>35</v>
      </c>
      <c r="B17" s="2" t="s">
        <v>36</v>
      </c>
      <c r="C17" s="2">
        <f>SUMIF(Academic!A:A,B17,Academic!F:F)</f>
        <v>0</v>
      </c>
      <c r="D17" s="2">
        <f>SUMIF(Community!A:A,B17,Community!F:F)</f>
        <v>0</v>
      </c>
      <c r="E17" s="2">
        <f>SUMIF(Leadership!A:A,B17,Leadership!F:F)</f>
        <v>0</v>
      </c>
      <c r="F17" s="2">
        <f>SUMIF(Skills!A:A,B17,Skills!F:F)</f>
        <v>0</v>
      </c>
      <c r="G17" s="2">
        <f>SUMIF(Parental!A:A,B17,Parental!F:F)</f>
        <v>0</v>
      </c>
      <c r="H17" s="2">
        <f t="shared" si="0"/>
        <v>0</v>
      </c>
      <c r="I17" s="2" t="str">
        <f t="shared" si="1"/>
        <v>-</v>
      </c>
    </row>
    <row r="18" spans="1:9" ht="15.6" x14ac:dyDescent="0.3">
      <c r="A18" s="2" t="s">
        <v>37</v>
      </c>
      <c r="B18" s="2" t="s">
        <v>38</v>
      </c>
      <c r="C18" s="2">
        <f>SUMIF(Academic!A:A,B18,Academic!F:F)</f>
        <v>0</v>
      </c>
      <c r="D18" s="2">
        <f>SUMIF(Community!A:A,B18,Community!F:F)</f>
        <v>0</v>
      </c>
      <c r="E18" s="2">
        <f>SUMIF(Leadership!A:A,B18,Leadership!F:F)</f>
        <v>0</v>
      </c>
      <c r="F18" s="2">
        <f>SUMIF(Skills!A:A,B18,Skills!F:F)</f>
        <v>0</v>
      </c>
      <c r="G18" s="2">
        <f>SUMIF(Parental!A:A,B18,Parental!F:F)</f>
        <v>0</v>
      </c>
      <c r="H18" s="2">
        <f t="shared" si="0"/>
        <v>0</v>
      </c>
      <c r="I18" s="2" t="str">
        <f t="shared" si="1"/>
        <v>-</v>
      </c>
    </row>
    <row r="19" spans="1:9" ht="15.6" x14ac:dyDescent="0.3">
      <c r="A19" s="2" t="s">
        <v>39</v>
      </c>
      <c r="B19" s="2" t="s">
        <v>40</v>
      </c>
      <c r="C19" s="2">
        <f>SUMIF(Academic!A:A,B19,Academic!F:F)</f>
        <v>0</v>
      </c>
      <c r="D19" s="2">
        <f>SUMIF(Community!A:A,B19,Community!F:F)</f>
        <v>0</v>
      </c>
      <c r="E19" s="2">
        <f>SUMIF(Leadership!A:A,B19,Leadership!F:F)</f>
        <v>0</v>
      </c>
      <c r="F19" s="2">
        <f>SUMIF(Skills!A:A,B19,Skills!F:F)</f>
        <v>0</v>
      </c>
      <c r="G19" s="2">
        <f>SUMIF(Parental!A:A,B19,Parental!F:F)</f>
        <v>0</v>
      </c>
      <c r="H19" s="2">
        <f t="shared" si="0"/>
        <v>0</v>
      </c>
      <c r="I19" s="2" t="str">
        <f t="shared" si="1"/>
        <v>-</v>
      </c>
    </row>
    <row r="20" spans="1:9" ht="15.6" x14ac:dyDescent="0.3">
      <c r="A20" s="2" t="s">
        <v>41</v>
      </c>
      <c r="B20" s="2" t="s">
        <v>42</v>
      </c>
      <c r="C20" s="2">
        <f>SUMIF(Academic!A:A,B20,Academic!F:F)</f>
        <v>0</v>
      </c>
      <c r="D20" s="2">
        <f>SUMIF(Community!A:A,B20,Community!F:F)</f>
        <v>0</v>
      </c>
      <c r="E20" s="2">
        <f>SUMIF(Leadership!A:A,B20,Leadership!F:F)</f>
        <v>0</v>
      </c>
      <c r="F20" s="2">
        <f>SUMIF(Skills!A:A,B20,Skills!F:F)</f>
        <v>0</v>
      </c>
      <c r="G20" s="2">
        <f>SUMIF(Parental!A:A,B20,Parental!F:F)</f>
        <v>0</v>
      </c>
      <c r="H20" s="2">
        <f t="shared" si="0"/>
        <v>0</v>
      </c>
      <c r="I20" s="2" t="str">
        <f t="shared" si="1"/>
        <v>-</v>
      </c>
    </row>
    <row r="21" spans="1:9" ht="15.6" x14ac:dyDescent="0.3">
      <c r="A21" s="2" t="s">
        <v>43</v>
      </c>
      <c r="B21" s="2" t="s">
        <v>44</v>
      </c>
      <c r="C21" s="2">
        <f>SUMIF(Academic!A:A,B21,Academic!F:F)</f>
        <v>0</v>
      </c>
      <c r="D21" s="2">
        <f>SUMIF(Community!A:A,B21,Community!F:F)</f>
        <v>0</v>
      </c>
      <c r="E21" s="2">
        <f>SUMIF(Leadership!A:A,B21,Leadership!F:F)</f>
        <v>0</v>
      </c>
      <c r="F21" s="2">
        <f>SUMIF(Skills!A:A,B21,Skills!F:F)</f>
        <v>0</v>
      </c>
      <c r="G21" s="2">
        <f>SUMIF(Parental!A:A,B21,Parental!F:F)</f>
        <v>0</v>
      </c>
      <c r="H21" s="2">
        <f t="shared" si="0"/>
        <v>0</v>
      </c>
      <c r="I21" s="2" t="str">
        <f t="shared" si="1"/>
        <v>-</v>
      </c>
    </row>
    <row r="22" spans="1:9" ht="15.6" x14ac:dyDescent="0.3">
      <c r="A22" s="2" t="s">
        <v>45</v>
      </c>
      <c r="B22" s="2" t="s">
        <v>46</v>
      </c>
      <c r="C22" s="2">
        <f>SUMIF(Academic!A:A,B22,Academic!F:F)</f>
        <v>0</v>
      </c>
      <c r="D22" s="2">
        <f>SUMIF(Community!A:A,B22,Community!F:F)</f>
        <v>0</v>
      </c>
      <c r="E22" s="2">
        <f>SUMIF(Leadership!A:A,B22,Leadership!F:F)</f>
        <v>0</v>
      </c>
      <c r="F22" s="2">
        <f>SUMIF(Skills!A:A,B22,Skills!F:F)</f>
        <v>0</v>
      </c>
      <c r="G22" s="2">
        <f>SUMIF(Parental!A:A,B22,Parental!F:F)</f>
        <v>0</v>
      </c>
      <c r="H22" s="2">
        <f t="shared" si="0"/>
        <v>0</v>
      </c>
      <c r="I22" s="2" t="str">
        <f t="shared" si="1"/>
        <v>-</v>
      </c>
    </row>
    <row r="23" spans="1:9" ht="15.6" x14ac:dyDescent="0.3">
      <c r="A23" s="2" t="s">
        <v>47</v>
      </c>
      <c r="B23" s="2" t="s">
        <v>48</v>
      </c>
      <c r="C23" s="2">
        <f>SUMIF(Academic!A:A,B23,Academic!F:F)</f>
        <v>0</v>
      </c>
      <c r="D23" s="2">
        <f>SUMIF(Community!A:A,B23,Community!F:F)</f>
        <v>0</v>
      </c>
      <c r="E23" s="2">
        <f>SUMIF(Leadership!A:A,B23,Leadership!F:F)</f>
        <v>0</v>
      </c>
      <c r="F23" s="2">
        <f>SUMIF(Skills!A:A,B23,Skills!F:F)</f>
        <v>0</v>
      </c>
      <c r="G23" s="2">
        <f>SUMIF(Parental!A:A,B23,Parental!F:F)</f>
        <v>0</v>
      </c>
      <c r="H23" s="2">
        <f t="shared" si="0"/>
        <v>0</v>
      </c>
      <c r="I23" s="2" t="str">
        <f t="shared" si="1"/>
        <v>-</v>
      </c>
    </row>
    <row r="24" spans="1:9" ht="15.6" x14ac:dyDescent="0.3">
      <c r="A24" s="2" t="s">
        <v>49</v>
      </c>
      <c r="B24" s="2" t="s">
        <v>50</v>
      </c>
      <c r="C24" s="2">
        <f>SUMIF(Academic!A:A,B24,Academic!F:F)</f>
        <v>0</v>
      </c>
      <c r="D24" s="2">
        <f>SUMIF(Community!A:A,B24,Community!F:F)</f>
        <v>0</v>
      </c>
      <c r="E24" s="2">
        <f>SUMIF(Leadership!A:A,B24,Leadership!F:F)</f>
        <v>0</v>
      </c>
      <c r="F24" s="2">
        <f>SUMIF(Skills!A:A,B24,Skills!F:F)</f>
        <v>0</v>
      </c>
      <c r="G24" s="2">
        <f>SUMIF(Parental!A:A,B24,Parental!F:F)</f>
        <v>0</v>
      </c>
      <c r="H24" s="2">
        <f t="shared" si="0"/>
        <v>0</v>
      </c>
      <c r="I24" s="2" t="str">
        <f t="shared" si="1"/>
        <v>-</v>
      </c>
    </row>
    <row r="25" spans="1:9" ht="15.6" x14ac:dyDescent="0.3">
      <c r="A25" s="2" t="s">
        <v>51</v>
      </c>
      <c r="B25" s="2" t="s">
        <v>52</v>
      </c>
      <c r="C25" s="2">
        <f>SUMIF(Academic!A:A,B25,Academic!F:F)</f>
        <v>0</v>
      </c>
      <c r="D25" s="2">
        <f>SUMIF(Community!A:A,B25,Community!F:F)</f>
        <v>0</v>
      </c>
      <c r="E25" s="2">
        <f>SUMIF(Leadership!A:A,B25,Leadership!F:F)</f>
        <v>0</v>
      </c>
      <c r="F25" s="2">
        <f>SUMIF(Skills!A:A,B25,Skills!F:F)</f>
        <v>0</v>
      </c>
      <c r="G25" s="2">
        <f>SUMIF(Parental!A:A,B25,Parental!F:F)</f>
        <v>0</v>
      </c>
      <c r="H25" s="2">
        <f t="shared" si="0"/>
        <v>0</v>
      </c>
      <c r="I25" s="2" t="str">
        <f t="shared" si="1"/>
        <v>-</v>
      </c>
    </row>
    <row r="26" spans="1:9" ht="15.6" x14ac:dyDescent="0.3">
      <c r="A26" s="2" t="s">
        <v>53</v>
      </c>
      <c r="B26" s="2" t="s">
        <v>54</v>
      </c>
      <c r="C26" s="2">
        <f>SUMIF(Academic!A:A,B26,Academic!F:F)</f>
        <v>0</v>
      </c>
      <c r="D26" s="2">
        <f>SUMIF(Community!A:A,B26,Community!F:F)</f>
        <v>0</v>
      </c>
      <c r="E26" s="2">
        <f>SUMIF(Leadership!A:A,B26,Leadership!F:F)</f>
        <v>0</v>
      </c>
      <c r="F26" s="2">
        <f>SUMIF(Skills!A:A,B26,Skills!F:F)</f>
        <v>0</v>
      </c>
      <c r="G26" s="2">
        <f>SUMIF(Parental!A:A,B26,Parental!F:F)</f>
        <v>0</v>
      </c>
      <c r="H26" s="2">
        <f t="shared" si="0"/>
        <v>0</v>
      </c>
      <c r="I26" s="2" t="str">
        <f t="shared" si="1"/>
        <v>-</v>
      </c>
    </row>
    <row r="27" spans="1:9" ht="15.6" x14ac:dyDescent="0.3">
      <c r="A27" s="2" t="s">
        <v>55</v>
      </c>
      <c r="B27" s="2" t="s">
        <v>56</v>
      </c>
      <c r="C27" s="2">
        <f>SUMIF(Academic!A:A,B27,Academic!F:F)</f>
        <v>0</v>
      </c>
      <c r="D27" s="2">
        <f>SUMIF(Community!A:A,B27,Community!F:F)</f>
        <v>0</v>
      </c>
      <c r="E27" s="2">
        <f>SUMIF(Leadership!A:A,B27,Leadership!F:F)</f>
        <v>0</v>
      </c>
      <c r="F27" s="2">
        <f>SUMIF(Skills!A:A,B27,Skills!F:F)</f>
        <v>0</v>
      </c>
      <c r="G27" s="2">
        <f>SUMIF(Parental!A:A,B27,Parental!F:F)</f>
        <v>0</v>
      </c>
      <c r="H27" s="2">
        <f t="shared" si="0"/>
        <v>0</v>
      </c>
      <c r="I27" s="2" t="str">
        <f t="shared" si="1"/>
        <v>-</v>
      </c>
    </row>
    <row r="28" spans="1:9" ht="15.6" x14ac:dyDescent="0.3">
      <c r="A28" s="2" t="s">
        <v>57</v>
      </c>
      <c r="B28" s="2" t="s">
        <v>58</v>
      </c>
      <c r="C28" s="2">
        <f>SUMIF(Academic!A:A,B28,Academic!F:F)</f>
        <v>0</v>
      </c>
      <c r="D28" s="2">
        <f>SUMIF(Community!A:A,B28,Community!F:F)</f>
        <v>0</v>
      </c>
      <c r="E28" s="2">
        <f>SUMIF(Leadership!A:A,B28,Leadership!F:F)</f>
        <v>0</v>
      </c>
      <c r="F28" s="2">
        <f>SUMIF(Skills!A:A,B28,Skills!F:F)</f>
        <v>0</v>
      </c>
      <c r="G28" s="2">
        <f>SUMIF(Parental!A:A,B28,Parental!F:F)</f>
        <v>0</v>
      </c>
      <c r="H28" s="2">
        <f t="shared" si="0"/>
        <v>0</v>
      </c>
      <c r="I28" s="2" t="str">
        <f t="shared" si="1"/>
        <v>-</v>
      </c>
    </row>
    <row r="29" spans="1:9" ht="15.6" x14ac:dyDescent="0.3">
      <c r="A29" s="2" t="s">
        <v>59</v>
      </c>
      <c r="B29" s="2" t="s">
        <v>60</v>
      </c>
      <c r="C29" s="2">
        <f>SUMIF(Academic!A:A,B29,Academic!F:F)</f>
        <v>0</v>
      </c>
      <c r="D29" s="2">
        <f>SUMIF(Community!A:A,B29,Community!F:F)</f>
        <v>0</v>
      </c>
      <c r="E29" s="2">
        <f>SUMIF(Leadership!A:A,B29,Leadership!F:F)</f>
        <v>0</v>
      </c>
      <c r="F29" s="2">
        <f>SUMIF(Skills!A:A,B29,Skills!F:F)</f>
        <v>0</v>
      </c>
      <c r="G29" s="2">
        <f>SUMIF(Parental!A:A,B29,Parental!F:F)</f>
        <v>0</v>
      </c>
      <c r="H29" s="2">
        <f t="shared" si="0"/>
        <v>0</v>
      </c>
      <c r="I29" s="2" t="str">
        <f t="shared" si="1"/>
        <v>-</v>
      </c>
    </row>
    <row r="30" spans="1:9" ht="15.6" x14ac:dyDescent="0.3">
      <c r="A30" s="2" t="s">
        <v>61</v>
      </c>
      <c r="B30" s="2" t="s">
        <v>62</v>
      </c>
      <c r="C30" s="2">
        <f>SUMIF(Academic!A:A,B30,Academic!F:F)</f>
        <v>0</v>
      </c>
      <c r="D30" s="2">
        <f>SUMIF(Community!A:A,B30,Community!F:F)</f>
        <v>0</v>
      </c>
      <c r="E30" s="2">
        <f>SUMIF(Leadership!A:A,B30,Leadership!F:F)</f>
        <v>0</v>
      </c>
      <c r="F30" s="2">
        <f>SUMIF(Skills!A:A,B30,Skills!F:F)</f>
        <v>0</v>
      </c>
      <c r="G30" s="2">
        <f>SUMIF(Parental!A:A,B30,Parental!F:F)</f>
        <v>0</v>
      </c>
      <c r="H30" s="2">
        <f t="shared" si="0"/>
        <v>0</v>
      </c>
      <c r="I30" s="2" t="str">
        <f t="shared" si="1"/>
        <v>-</v>
      </c>
    </row>
    <row r="31" spans="1:9" ht="15.6" x14ac:dyDescent="0.3">
      <c r="A31" s="2" t="s">
        <v>63</v>
      </c>
      <c r="B31" s="2" t="s">
        <v>64</v>
      </c>
      <c r="C31" s="2">
        <f>SUMIF(Academic!A:A,B31,Academic!F:F)</f>
        <v>0</v>
      </c>
      <c r="D31" s="2">
        <f>SUMIF(Community!A:A,B31,Community!F:F)</f>
        <v>0</v>
      </c>
      <c r="E31" s="2">
        <f>SUMIF(Leadership!A:A,B31,Leadership!F:F)</f>
        <v>0</v>
      </c>
      <c r="F31" s="2">
        <f>SUMIF(Skills!A:A,B31,Skills!F:F)</f>
        <v>0</v>
      </c>
      <c r="G31" s="2">
        <f>SUMIF(Parental!A:A,B31,Parental!F:F)</f>
        <v>0</v>
      </c>
      <c r="H31" s="2">
        <f t="shared" si="0"/>
        <v>0</v>
      </c>
      <c r="I31" s="2" t="str">
        <f t="shared" si="1"/>
        <v>-</v>
      </c>
    </row>
    <row r="32" spans="1:9" ht="15.6" x14ac:dyDescent="0.3">
      <c r="A32" s="2" t="s">
        <v>65</v>
      </c>
      <c r="B32" s="2" t="s">
        <v>66</v>
      </c>
      <c r="C32" s="2">
        <f>SUMIF(Academic!A:A,B32,Academic!F:F)</f>
        <v>0</v>
      </c>
      <c r="D32" s="2">
        <f>SUMIF(Community!A:A,B32,Community!F:F)</f>
        <v>0</v>
      </c>
      <c r="E32" s="2">
        <f>SUMIF(Leadership!A:A,B32,Leadership!F:F)</f>
        <v>0</v>
      </c>
      <c r="F32" s="2">
        <f>SUMIF(Skills!A:A,B32,Skills!F:F)</f>
        <v>0</v>
      </c>
      <c r="G32" s="2">
        <f>SUMIF(Parental!A:A,B32,Parental!F:F)</f>
        <v>0</v>
      </c>
      <c r="H32" s="2">
        <f t="shared" si="0"/>
        <v>0</v>
      </c>
      <c r="I32" s="2" t="str">
        <f t="shared" si="1"/>
        <v>-</v>
      </c>
    </row>
    <row r="33" spans="1:9" ht="15.6" x14ac:dyDescent="0.3">
      <c r="A33" s="2" t="s">
        <v>67</v>
      </c>
      <c r="B33" s="2" t="s">
        <v>68</v>
      </c>
      <c r="C33" s="2">
        <f>SUMIF(Academic!A:A,B33,Academic!F:F)</f>
        <v>0</v>
      </c>
      <c r="D33" s="2">
        <f>SUMIF(Community!A:A,B33,Community!F:F)</f>
        <v>0</v>
      </c>
      <c r="E33" s="2">
        <f>SUMIF(Leadership!A:A,B33,Leadership!F:F)</f>
        <v>0</v>
      </c>
      <c r="F33" s="2">
        <f>SUMIF(Skills!A:A,B33,Skills!F:F)</f>
        <v>0</v>
      </c>
      <c r="G33" s="2">
        <f>SUMIF(Parental!A:A,B33,Parental!F:F)</f>
        <v>0</v>
      </c>
      <c r="H33" s="2">
        <f t="shared" si="0"/>
        <v>0</v>
      </c>
      <c r="I33" s="2" t="str">
        <f t="shared" si="1"/>
        <v>-</v>
      </c>
    </row>
    <row r="34" spans="1:9" ht="15.6" x14ac:dyDescent="0.3">
      <c r="A34" s="2" t="s">
        <v>69</v>
      </c>
      <c r="B34" s="2" t="s">
        <v>70</v>
      </c>
      <c r="C34" s="2">
        <f>SUMIF(Academic!A:A,B34,Academic!F:F)</f>
        <v>0</v>
      </c>
      <c r="D34" s="2">
        <f>SUMIF(Community!A:A,B34,Community!F:F)</f>
        <v>0</v>
      </c>
      <c r="E34" s="2">
        <f>SUMIF(Leadership!A:A,B34,Leadership!F:F)</f>
        <v>0</v>
      </c>
      <c r="F34" s="2">
        <f>SUMIF(Skills!A:A,B34,Skills!F:F)</f>
        <v>0</v>
      </c>
      <c r="G34" s="2">
        <f>SUMIF(Parental!A:A,B34,Parental!F:F)</f>
        <v>0</v>
      </c>
      <c r="H34" s="2">
        <f t="shared" si="0"/>
        <v>0</v>
      </c>
      <c r="I34" s="2" t="str">
        <f t="shared" si="1"/>
        <v>-</v>
      </c>
    </row>
    <row r="35" spans="1:9" ht="15.6" x14ac:dyDescent="0.3">
      <c r="A35" s="2" t="s">
        <v>71</v>
      </c>
      <c r="B35" s="2" t="s">
        <v>72</v>
      </c>
      <c r="C35" s="2">
        <f>SUMIF(Academic!A:A,B35,Academic!F:F)</f>
        <v>0</v>
      </c>
      <c r="D35" s="2">
        <f>SUMIF(Community!A:A,B35,Community!F:F)</f>
        <v>0</v>
      </c>
      <c r="E35" s="2">
        <f>SUMIF(Leadership!A:A,B35,Leadership!F:F)</f>
        <v>0</v>
      </c>
      <c r="F35" s="2">
        <f>SUMIF(Skills!A:A,B35,Skills!F:F)</f>
        <v>0</v>
      </c>
      <c r="G35" s="2">
        <f>SUMIF(Parental!A:A,B35,Parental!F:F)</f>
        <v>0</v>
      </c>
      <c r="H35" s="2">
        <f t="shared" si="0"/>
        <v>0</v>
      </c>
      <c r="I35" s="2" t="str">
        <f t="shared" si="1"/>
        <v>-</v>
      </c>
    </row>
    <row r="36" spans="1:9" ht="15.6" x14ac:dyDescent="0.3">
      <c r="A36" s="2" t="s">
        <v>73</v>
      </c>
      <c r="B36" s="2" t="s">
        <v>74</v>
      </c>
      <c r="C36" s="2">
        <f>SUMIF(Academic!A:A,B36,Academic!F:F)</f>
        <v>0</v>
      </c>
      <c r="D36" s="2">
        <f>SUMIF(Community!A:A,B36,Community!F:F)</f>
        <v>0</v>
      </c>
      <c r="E36" s="2">
        <f>SUMIF(Leadership!A:A,B36,Leadership!F:F)</f>
        <v>0</v>
      </c>
      <c r="F36" s="2">
        <f>SUMIF(Skills!A:A,B36,Skills!F:F)</f>
        <v>0</v>
      </c>
      <c r="G36" s="2">
        <f>SUMIF(Parental!A:A,B36,Parental!F:F)</f>
        <v>0</v>
      </c>
      <c r="H36" s="2">
        <f t="shared" si="0"/>
        <v>0</v>
      </c>
      <c r="I36" s="2" t="str">
        <f t="shared" si="1"/>
        <v>-</v>
      </c>
    </row>
    <row r="37" spans="1:9" ht="15.6" x14ac:dyDescent="0.3">
      <c r="A37" s="2" t="s">
        <v>75</v>
      </c>
      <c r="B37" s="2" t="s">
        <v>76</v>
      </c>
      <c r="C37" s="2">
        <f>SUMIF(Academic!A:A,B37,Academic!F:F)</f>
        <v>0</v>
      </c>
      <c r="D37" s="2">
        <f>SUMIF(Community!A:A,B37,Community!F:F)</f>
        <v>0</v>
      </c>
      <c r="E37" s="2">
        <f>SUMIF(Leadership!A:A,B37,Leadership!F:F)</f>
        <v>0</v>
      </c>
      <c r="F37" s="2">
        <f>SUMIF(Skills!A:A,B37,Skills!F:F)</f>
        <v>0</v>
      </c>
      <c r="G37" s="2">
        <f>SUMIF(Parental!A:A,B37,Parental!F:F)</f>
        <v>0</v>
      </c>
      <c r="H37" s="2">
        <f t="shared" si="0"/>
        <v>0</v>
      </c>
      <c r="I37" s="2" t="str">
        <f t="shared" si="1"/>
        <v>-</v>
      </c>
    </row>
    <row r="38" spans="1:9" ht="15.6" x14ac:dyDescent="0.3">
      <c r="A38" s="2" t="s">
        <v>77</v>
      </c>
      <c r="B38" s="2" t="s">
        <v>78</v>
      </c>
      <c r="C38" s="2">
        <f>SUMIF(Academic!A:A,B38,Academic!F:F)</f>
        <v>0</v>
      </c>
      <c r="D38" s="2">
        <f>SUMIF(Community!A:A,B38,Community!F:F)</f>
        <v>0</v>
      </c>
      <c r="E38" s="2">
        <f>SUMIF(Leadership!A:A,B38,Leadership!F:F)</f>
        <v>0</v>
      </c>
      <c r="F38" s="2">
        <f>SUMIF(Skills!A:A,B38,Skills!F:F)</f>
        <v>0</v>
      </c>
      <c r="G38" s="2">
        <f>SUMIF(Parental!A:A,B38,Parental!F:F)</f>
        <v>0</v>
      </c>
      <c r="H38" s="2">
        <f t="shared" si="0"/>
        <v>0</v>
      </c>
      <c r="I38" s="2" t="str">
        <f t="shared" si="1"/>
        <v>-</v>
      </c>
    </row>
    <row r="39" spans="1:9" ht="15.6" x14ac:dyDescent="0.3">
      <c r="A39" s="2" t="s">
        <v>79</v>
      </c>
      <c r="B39" s="2" t="s">
        <v>80</v>
      </c>
      <c r="C39" s="2">
        <f>SUMIF(Academic!A:A,B39,Academic!F:F)</f>
        <v>0</v>
      </c>
      <c r="D39" s="2">
        <f>SUMIF(Community!A:A,B39,Community!F:F)</f>
        <v>0</v>
      </c>
      <c r="E39" s="2">
        <f>SUMIF(Leadership!A:A,B39,Leadership!F:F)</f>
        <v>0</v>
      </c>
      <c r="F39" s="2">
        <f>SUMIF(Skills!A:A,B39,Skills!F:F)</f>
        <v>0</v>
      </c>
      <c r="G39" s="2">
        <f>SUMIF(Parental!A:A,B39,Parental!F:F)</f>
        <v>0</v>
      </c>
      <c r="H39" s="2">
        <f t="shared" si="0"/>
        <v>0</v>
      </c>
      <c r="I39" s="2" t="str">
        <f t="shared" si="1"/>
        <v>-</v>
      </c>
    </row>
    <row r="40" spans="1:9" ht="15.6" x14ac:dyDescent="0.3">
      <c r="A40" s="2" t="s">
        <v>81</v>
      </c>
      <c r="B40" s="2" t="s">
        <v>82</v>
      </c>
      <c r="C40" s="2">
        <f>SUMIF(Academic!A:A,B40,Academic!F:F)</f>
        <v>0</v>
      </c>
      <c r="D40" s="2">
        <f>SUMIF(Community!A:A,B40,Community!F:F)</f>
        <v>0</v>
      </c>
      <c r="E40" s="2">
        <f>SUMIF(Leadership!A:A,B40,Leadership!F:F)</f>
        <v>0</v>
      </c>
      <c r="F40" s="2">
        <f>SUMIF(Skills!A:A,B40,Skills!F:F)</f>
        <v>0</v>
      </c>
      <c r="G40" s="2">
        <f>SUMIF(Parental!A:A,B40,Parental!F:F)</f>
        <v>0</v>
      </c>
      <c r="H40" s="2">
        <f t="shared" si="0"/>
        <v>0</v>
      </c>
      <c r="I40" s="2" t="str">
        <f t="shared" si="1"/>
        <v>-</v>
      </c>
    </row>
  </sheetData>
  <mergeCells count="2">
    <mergeCell ref="A1:I1"/>
    <mergeCell ref="A2:I2"/>
  </mergeCells>
  <pageMargins left="0.7" right="0.7" top="0.75" bottom="0.75" header="0.3" footer="0.3"/>
  <ignoredErrors>
    <ignoredError sqref="A1:I4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3"/>
  <sheetViews>
    <sheetView topLeftCell="A11" workbookViewId="0">
      <selection activeCell="B30" sqref="B30"/>
    </sheetView>
  </sheetViews>
  <sheetFormatPr defaultRowHeight="14.4" x14ac:dyDescent="0.3"/>
  <cols>
    <col min="1" max="1" width="32.796875" customWidth="1"/>
    <col min="2" max="3" width="12.796875" customWidth="1"/>
    <col min="4" max="4" width="30.796875" customWidth="1"/>
    <col min="5" max="5" width="42.796875" customWidth="1"/>
    <col min="6" max="6" width="14.796875" customWidth="1"/>
    <col min="7" max="7" width="32.796875" customWidth="1"/>
    <col min="8" max="8" width="24.796875" customWidth="1"/>
  </cols>
  <sheetData>
    <row r="1" spans="1:8" ht="15.6" x14ac:dyDescent="0.3">
      <c r="A1" t="s">
        <v>83</v>
      </c>
    </row>
    <row r="2" spans="1:8" ht="15.6" x14ac:dyDescent="0.3">
      <c r="A2" t="s">
        <v>84</v>
      </c>
    </row>
    <row r="4" spans="1:8" ht="15.6" x14ac:dyDescent="0.3">
      <c r="A4" t="s">
        <v>85</v>
      </c>
    </row>
    <row r="5" spans="1:8" ht="15.6" x14ac:dyDescent="0.3">
      <c r="A5" t="s">
        <v>86</v>
      </c>
      <c r="B5" t="s">
        <v>87</v>
      </c>
    </row>
    <row r="6" spans="1:8" ht="15.6" x14ac:dyDescent="0.3">
      <c r="A6" t="s">
        <v>86</v>
      </c>
      <c r="B6" t="s">
        <v>88</v>
      </c>
    </row>
    <row r="7" spans="1:8" ht="15.6" x14ac:dyDescent="0.3">
      <c r="A7" t="s">
        <v>86</v>
      </c>
      <c r="B7" t="s">
        <v>89</v>
      </c>
    </row>
    <row r="8" spans="1:8" ht="15.6" x14ac:dyDescent="0.3">
      <c r="A8" t="s">
        <v>86</v>
      </c>
      <c r="B8" t="s">
        <v>90</v>
      </c>
    </row>
    <row r="10" spans="1:8" ht="15.6" x14ac:dyDescent="0.3">
      <c r="A10" t="s">
        <v>91</v>
      </c>
    </row>
    <row r="12" spans="1:8" ht="16.2" thickBot="1" x14ac:dyDescent="0.35">
      <c r="A12" t="s">
        <v>92</v>
      </c>
    </row>
    <row r="13" spans="1:8" ht="16.2" thickBot="1" x14ac:dyDescent="0.35">
      <c r="A13" s="11" t="s">
        <v>197</v>
      </c>
      <c r="B13" s="12" t="s">
        <v>2</v>
      </c>
      <c r="C13" s="12" t="s">
        <v>93</v>
      </c>
      <c r="D13" s="12" t="s">
        <v>94</v>
      </c>
      <c r="E13" s="12" t="s">
        <v>95</v>
      </c>
      <c r="F13" s="12" t="s">
        <v>96</v>
      </c>
      <c r="G13" s="7" t="s">
        <v>97</v>
      </c>
      <c r="H13" s="8" t="s">
        <v>98</v>
      </c>
    </row>
    <row r="14" spans="1:8" ht="15.6" x14ac:dyDescent="0.3">
      <c r="A14" s="13" t="s">
        <v>86</v>
      </c>
      <c r="B14" s="14" t="s">
        <v>86</v>
      </c>
      <c r="C14" s="15" t="s">
        <v>86</v>
      </c>
      <c r="D14" s="16" t="s">
        <v>86</v>
      </c>
      <c r="E14" s="16" t="s">
        <v>86</v>
      </c>
      <c r="F14" s="16" t="s">
        <v>86</v>
      </c>
      <c r="G14" s="9" t="s">
        <v>86</v>
      </c>
      <c r="H14" s="9" t="s">
        <v>86</v>
      </c>
    </row>
    <row r="15" spans="1:8" ht="15.6" x14ac:dyDescent="0.3">
      <c r="A15" s="17" t="s">
        <v>86</v>
      </c>
      <c r="B15" s="18" t="s">
        <v>86</v>
      </c>
      <c r="C15" s="19" t="s">
        <v>86</v>
      </c>
      <c r="D15" s="19" t="s">
        <v>86</v>
      </c>
      <c r="E15" s="19" t="s">
        <v>86</v>
      </c>
      <c r="F15" s="19" t="s">
        <v>86</v>
      </c>
      <c r="G15" s="10" t="s">
        <v>86</v>
      </c>
      <c r="H15" s="10" t="s">
        <v>86</v>
      </c>
    </row>
    <row r="16" spans="1:8" ht="15.6" x14ac:dyDescent="0.3">
      <c r="A16" s="17" t="s">
        <v>86</v>
      </c>
      <c r="B16" s="18" t="s">
        <v>86</v>
      </c>
      <c r="C16" s="19" t="s">
        <v>86</v>
      </c>
      <c r="D16" s="19" t="s">
        <v>86</v>
      </c>
      <c r="E16" s="19" t="s">
        <v>86</v>
      </c>
      <c r="F16" s="19" t="s">
        <v>86</v>
      </c>
      <c r="G16" s="10" t="s">
        <v>86</v>
      </c>
      <c r="H16" s="10" t="s">
        <v>86</v>
      </c>
    </row>
    <row r="17" spans="1:8" ht="15.6" x14ac:dyDescent="0.3">
      <c r="A17" s="17" t="s">
        <v>86</v>
      </c>
      <c r="B17" s="18" t="s">
        <v>86</v>
      </c>
      <c r="C17" s="19" t="s">
        <v>86</v>
      </c>
      <c r="D17" s="19" t="s">
        <v>86</v>
      </c>
      <c r="E17" s="19" t="s">
        <v>86</v>
      </c>
      <c r="F17" s="19" t="s">
        <v>86</v>
      </c>
      <c r="G17" s="10" t="s">
        <v>86</v>
      </c>
      <c r="H17" s="10" t="s">
        <v>86</v>
      </c>
    </row>
    <row r="18" spans="1:8" ht="15.6" x14ac:dyDescent="0.3">
      <c r="A18" s="17" t="s">
        <v>86</v>
      </c>
      <c r="B18" s="18" t="s">
        <v>86</v>
      </c>
      <c r="C18" s="19" t="s">
        <v>86</v>
      </c>
      <c r="D18" s="19" t="s">
        <v>86</v>
      </c>
      <c r="E18" s="19" t="s">
        <v>86</v>
      </c>
      <c r="F18" s="19" t="s">
        <v>86</v>
      </c>
      <c r="G18" s="10" t="s">
        <v>86</v>
      </c>
      <c r="H18" s="10" t="s">
        <v>86</v>
      </c>
    </row>
    <row r="19" spans="1:8" ht="15.6" x14ac:dyDescent="0.3">
      <c r="A19" s="17" t="s">
        <v>86</v>
      </c>
      <c r="B19" s="18" t="s">
        <v>86</v>
      </c>
      <c r="C19" s="19" t="s">
        <v>86</v>
      </c>
      <c r="D19" s="19" t="s">
        <v>86</v>
      </c>
      <c r="E19" s="19" t="s">
        <v>86</v>
      </c>
      <c r="F19" s="19" t="s">
        <v>86</v>
      </c>
      <c r="G19" s="10" t="s">
        <v>86</v>
      </c>
      <c r="H19" s="10" t="s">
        <v>86</v>
      </c>
    </row>
    <row r="20" spans="1:8" ht="15.6" x14ac:dyDescent="0.3">
      <c r="A20" s="17" t="s">
        <v>86</v>
      </c>
      <c r="B20" s="18" t="s">
        <v>86</v>
      </c>
      <c r="C20" s="19" t="s">
        <v>86</v>
      </c>
      <c r="D20" s="19" t="s">
        <v>86</v>
      </c>
      <c r="E20" s="19" t="s">
        <v>86</v>
      </c>
      <c r="F20" s="19" t="s">
        <v>86</v>
      </c>
      <c r="G20" s="10" t="s">
        <v>86</v>
      </c>
      <c r="H20" s="10" t="s">
        <v>86</v>
      </c>
    </row>
    <row r="21" spans="1:8" ht="15.6" x14ac:dyDescent="0.3">
      <c r="A21" s="17" t="s">
        <v>86</v>
      </c>
      <c r="B21" s="18" t="s">
        <v>86</v>
      </c>
      <c r="C21" s="19" t="s">
        <v>86</v>
      </c>
      <c r="D21" s="19" t="s">
        <v>86</v>
      </c>
      <c r="E21" s="19" t="s">
        <v>86</v>
      </c>
      <c r="F21" s="19" t="s">
        <v>86</v>
      </c>
      <c r="G21" s="10" t="s">
        <v>86</v>
      </c>
      <c r="H21" s="10" t="s">
        <v>86</v>
      </c>
    </row>
    <row r="22" spans="1:8" ht="15.6" x14ac:dyDescent="0.3">
      <c r="A22" s="17" t="s">
        <v>86</v>
      </c>
      <c r="B22" s="18" t="s">
        <v>86</v>
      </c>
      <c r="C22" s="19" t="s">
        <v>86</v>
      </c>
      <c r="D22" s="19" t="s">
        <v>86</v>
      </c>
      <c r="E22" s="19" t="s">
        <v>86</v>
      </c>
      <c r="F22" s="19" t="s">
        <v>86</v>
      </c>
      <c r="G22" s="10" t="s">
        <v>86</v>
      </c>
      <c r="H22" s="10" t="s">
        <v>86</v>
      </c>
    </row>
    <row r="23" spans="1:8" ht="15.6" x14ac:dyDescent="0.3">
      <c r="A23" s="17" t="s">
        <v>86</v>
      </c>
      <c r="B23" s="18" t="s">
        <v>86</v>
      </c>
      <c r="C23" s="19" t="s">
        <v>86</v>
      </c>
      <c r="D23" s="19" t="s">
        <v>86</v>
      </c>
      <c r="E23" s="19" t="s">
        <v>86</v>
      </c>
      <c r="F23" s="19" t="s">
        <v>86</v>
      </c>
      <c r="G23" s="10" t="s">
        <v>86</v>
      </c>
      <c r="H23" s="10" t="s">
        <v>86</v>
      </c>
    </row>
    <row r="24" spans="1:8" ht="15.6" x14ac:dyDescent="0.3">
      <c r="A24" s="17" t="s">
        <v>86</v>
      </c>
      <c r="B24" s="18" t="s">
        <v>86</v>
      </c>
      <c r="C24" s="19" t="s">
        <v>86</v>
      </c>
      <c r="D24" s="19" t="s">
        <v>86</v>
      </c>
      <c r="E24" s="19" t="s">
        <v>86</v>
      </c>
      <c r="F24" s="19" t="s">
        <v>86</v>
      </c>
      <c r="G24" s="10" t="s">
        <v>86</v>
      </c>
      <c r="H24" s="10" t="s">
        <v>86</v>
      </c>
    </row>
    <row r="25" spans="1:8" ht="15.6" x14ac:dyDescent="0.3">
      <c r="A25" s="17" t="s">
        <v>86</v>
      </c>
      <c r="B25" s="18" t="s">
        <v>86</v>
      </c>
      <c r="C25" s="19" t="s">
        <v>86</v>
      </c>
      <c r="D25" s="19" t="s">
        <v>86</v>
      </c>
      <c r="E25" s="19" t="s">
        <v>86</v>
      </c>
      <c r="F25" s="19" t="s">
        <v>86</v>
      </c>
      <c r="G25" s="10" t="s">
        <v>86</v>
      </c>
      <c r="H25" s="10" t="s">
        <v>86</v>
      </c>
    </row>
    <row r="26" spans="1:8" ht="15.6" x14ac:dyDescent="0.3">
      <c r="A26" s="17" t="s">
        <v>86</v>
      </c>
      <c r="B26" s="18" t="s">
        <v>86</v>
      </c>
      <c r="C26" s="19" t="s">
        <v>86</v>
      </c>
      <c r="D26" s="19" t="s">
        <v>86</v>
      </c>
      <c r="E26" s="19" t="s">
        <v>86</v>
      </c>
      <c r="F26" s="19" t="s">
        <v>86</v>
      </c>
      <c r="G26" s="10" t="s">
        <v>86</v>
      </c>
      <c r="H26" s="10" t="s">
        <v>86</v>
      </c>
    </row>
    <row r="27" spans="1:8" ht="15.6" x14ac:dyDescent="0.3">
      <c r="A27" s="17" t="s">
        <v>86</v>
      </c>
      <c r="B27" s="18" t="s">
        <v>86</v>
      </c>
      <c r="C27" s="19" t="s">
        <v>86</v>
      </c>
      <c r="D27" s="19" t="s">
        <v>86</v>
      </c>
      <c r="E27" s="19" t="s">
        <v>86</v>
      </c>
      <c r="F27" s="19" t="s">
        <v>86</v>
      </c>
      <c r="G27" s="10" t="s">
        <v>86</v>
      </c>
      <c r="H27" s="10" t="s">
        <v>86</v>
      </c>
    </row>
    <row r="28" spans="1:8" ht="15.6" x14ac:dyDescent="0.3">
      <c r="A28" s="17" t="s">
        <v>86</v>
      </c>
      <c r="B28" s="18" t="s">
        <v>86</v>
      </c>
      <c r="C28" s="19" t="s">
        <v>86</v>
      </c>
      <c r="D28" s="19" t="s">
        <v>86</v>
      </c>
      <c r="E28" s="19" t="s">
        <v>86</v>
      </c>
      <c r="F28" s="19" t="s">
        <v>86</v>
      </c>
      <c r="G28" s="10" t="s">
        <v>86</v>
      </c>
      <c r="H28" s="10" t="s">
        <v>86</v>
      </c>
    </row>
    <row r="29" spans="1:8" ht="15.6" x14ac:dyDescent="0.3">
      <c r="A29" s="17" t="s">
        <v>86</v>
      </c>
      <c r="B29" s="18" t="s">
        <v>86</v>
      </c>
      <c r="C29" s="19" t="s">
        <v>86</v>
      </c>
      <c r="D29" s="19" t="s">
        <v>86</v>
      </c>
      <c r="E29" s="19" t="s">
        <v>86</v>
      </c>
      <c r="F29" s="19" t="s">
        <v>86</v>
      </c>
      <c r="G29" s="10" t="s">
        <v>86</v>
      </c>
      <c r="H29" s="10" t="s">
        <v>86</v>
      </c>
    </row>
    <row r="30" spans="1:8" ht="15.6" x14ac:dyDescent="0.3">
      <c r="A30" s="17" t="s">
        <v>86</v>
      </c>
      <c r="B30" s="18" t="s">
        <v>86</v>
      </c>
      <c r="C30" s="19" t="s">
        <v>86</v>
      </c>
      <c r="D30" s="19" t="s">
        <v>86</v>
      </c>
      <c r="E30" s="19" t="s">
        <v>86</v>
      </c>
      <c r="F30" s="19" t="s">
        <v>86</v>
      </c>
      <c r="G30" s="10" t="s">
        <v>86</v>
      </c>
      <c r="H30" s="10" t="s">
        <v>86</v>
      </c>
    </row>
    <row r="31" spans="1:8" ht="15.6" x14ac:dyDescent="0.3">
      <c r="A31" t="s">
        <v>86</v>
      </c>
      <c r="B31" t="s">
        <v>86</v>
      </c>
      <c r="C31" t="s">
        <v>86</v>
      </c>
      <c r="D31" t="s">
        <v>86</v>
      </c>
      <c r="E31" t="s">
        <v>86</v>
      </c>
      <c r="F31" t="s">
        <v>86</v>
      </c>
      <c r="G31" t="s">
        <v>86</v>
      </c>
      <c r="H31" t="s">
        <v>86</v>
      </c>
    </row>
    <row r="32" spans="1:8" ht="15.6" x14ac:dyDescent="0.3">
      <c r="A32" t="s">
        <v>86</v>
      </c>
      <c r="B32" t="s">
        <v>86</v>
      </c>
      <c r="C32" t="s">
        <v>86</v>
      </c>
      <c r="D32" t="s">
        <v>86</v>
      </c>
      <c r="E32" t="s">
        <v>86</v>
      </c>
      <c r="F32" t="s">
        <v>86</v>
      </c>
      <c r="G32" t="s">
        <v>86</v>
      </c>
      <c r="H32" t="s">
        <v>86</v>
      </c>
    </row>
    <row r="33" spans="1:8" ht="15.6" x14ac:dyDescent="0.3">
      <c r="A33" t="s">
        <v>86</v>
      </c>
      <c r="B33" t="s">
        <v>86</v>
      </c>
      <c r="C33" t="s">
        <v>86</v>
      </c>
      <c r="D33" t="s">
        <v>86</v>
      </c>
      <c r="E33" t="s">
        <v>86</v>
      </c>
      <c r="F33" t="s">
        <v>86</v>
      </c>
      <c r="G33" t="s">
        <v>86</v>
      </c>
      <c r="H33" t="s">
        <v>86</v>
      </c>
    </row>
    <row r="34" spans="1:8" ht="15.6" x14ac:dyDescent="0.3">
      <c r="A34" t="s">
        <v>86</v>
      </c>
      <c r="B34" t="s">
        <v>86</v>
      </c>
      <c r="C34" t="s">
        <v>86</v>
      </c>
      <c r="D34" t="s">
        <v>86</v>
      </c>
      <c r="E34" t="s">
        <v>86</v>
      </c>
      <c r="F34" t="s">
        <v>86</v>
      </c>
      <c r="G34" t="s">
        <v>86</v>
      </c>
      <c r="H34" t="s">
        <v>86</v>
      </c>
    </row>
    <row r="35" spans="1:8" ht="15.6" x14ac:dyDescent="0.3">
      <c r="A35" t="s">
        <v>86</v>
      </c>
      <c r="B35" t="s">
        <v>86</v>
      </c>
      <c r="C35" t="s">
        <v>86</v>
      </c>
      <c r="D35" t="s">
        <v>86</v>
      </c>
      <c r="E35" t="s">
        <v>86</v>
      </c>
      <c r="F35" t="s">
        <v>86</v>
      </c>
      <c r="G35" t="s">
        <v>86</v>
      </c>
      <c r="H35" t="s">
        <v>86</v>
      </c>
    </row>
    <row r="36" spans="1:8" ht="15.6" x14ac:dyDescent="0.3">
      <c r="A36" t="s">
        <v>86</v>
      </c>
      <c r="B36" t="s">
        <v>86</v>
      </c>
      <c r="C36" t="s">
        <v>86</v>
      </c>
      <c r="D36" t="s">
        <v>86</v>
      </c>
      <c r="E36" t="s">
        <v>86</v>
      </c>
      <c r="F36" t="s">
        <v>86</v>
      </c>
      <c r="G36" t="s">
        <v>86</v>
      </c>
      <c r="H36" t="s">
        <v>86</v>
      </c>
    </row>
    <row r="37" spans="1:8" ht="15.6" x14ac:dyDescent="0.3">
      <c r="A37" t="s">
        <v>86</v>
      </c>
      <c r="B37" t="s">
        <v>86</v>
      </c>
      <c r="C37" t="s">
        <v>86</v>
      </c>
      <c r="D37" t="s">
        <v>86</v>
      </c>
      <c r="E37" t="s">
        <v>86</v>
      </c>
      <c r="F37" t="s">
        <v>86</v>
      </c>
      <c r="G37" t="s">
        <v>86</v>
      </c>
      <c r="H37" t="s">
        <v>86</v>
      </c>
    </row>
    <row r="38" spans="1:8" ht="15.6" x14ac:dyDescent="0.3">
      <c r="A38" t="s">
        <v>86</v>
      </c>
      <c r="B38" t="s">
        <v>86</v>
      </c>
      <c r="C38" t="s">
        <v>86</v>
      </c>
      <c r="D38" t="s">
        <v>86</v>
      </c>
      <c r="E38" t="s">
        <v>86</v>
      </c>
      <c r="F38" t="s">
        <v>86</v>
      </c>
      <c r="G38" t="s">
        <v>86</v>
      </c>
      <c r="H38" t="s">
        <v>86</v>
      </c>
    </row>
    <row r="39" spans="1:8" ht="15.6" x14ac:dyDescent="0.3">
      <c r="A39" t="s">
        <v>86</v>
      </c>
      <c r="B39" t="s">
        <v>86</v>
      </c>
      <c r="C39" t="s">
        <v>86</v>
      </c>
      <c r="D39" t="s">
        <v>86</v>
      </c>
      <c r="E39" t="s">
        <v>86</v>
      </c>
      <c r="F39" t="s">
        <v>86</v>
      </c>
      <c r="G39" t="s">
        <v>86</v>
      </c>
      <c r="H39" t="s">
        <v>86</v>
      </c>
    </row>
    <row r="40" spans="1:8" ht="15.6" x14ac:dyDescent="0.3">
      <c r="A40" t="s">
        <v>86</v>
      </c>
      <c r="B40" t="s">
        <v>86</v>
      </c>
      <c r="C40" t="s">
        <v>86</v>
      </c>
      <c r="D40" t="s">
        <v>86</v>
      </c>
      <c r="E40" t="s">
        <v>86</v>
      </c>
      <c r="F40" t="s">
        <v>86</v>
      </c>
      <c r="G40" t="s">
        <v>86</v>
      </c>
      <c r="H40" t="s">
        <v>86</v>
      </c>
    </row>
    <row r="41" spans="1:8" ht="15.6" x14ac:dyDescent="0.3">
      <c r="A41" t="s">
        <v>86</v>
      </c>
      <c r="B41" t="s">
        <v>86</v>
      </c>
      <c r="C41" t="s">
        <v>86</v>
      </c>
      <c r="D41" t="s">
        <v>86</v>
      </c>
      <c r="E41" t="s">
        <v>86</v>
      </c>
      <c r="F41" t="s">
        <v>86</v>
      </c>
      <c r="G41" t="s">
        <v>86</v>
      </c>
      <c r="H41" t="s">
        <v>86</v>
      </c>
    </row>
    <row r="42" spans="1:8" ht="15.6" x14ac:dyDescent="0.3">
      <c r="A42" t="s">
        <v>86</v>
      </c>
      <c r="B42" t="s">
        <v>86</v>
      </c>
      <c r="C42" t="s">
        <v>86</v>
      </c>
      <c r="D42" t="s">
        <v>86</v>
      </c>
      <c r="E42" t="s">
        <v>86</v>
      </c>
      <c r="F42" t="s">
        <v>86</v>
      </c>
      <c r="G42" t="s">
        <v>86</v>
      </c>
      <c r="H42" t="s">
        <v>86</v>
      </c>
    </row>
    <row r="43" spans="1:8" ht="15.6" x14ac:dyDescent="0.3">
      <c r="A43" t="s">
        <v>86</v>
      </c>
      <c r="B43" t="s">
        <v>86</v>
      </c>
      <c r="C43" t="s">
        <v>86</v>
      </c>
      <c r="D43" t="s">
        <v>86</v>
      </c>
      <c r="E43" t="s">
        <v>86</v>
      </c>
      <c r="F43" t="s">
        <v>86</v>
      </c>
      <c r="G43" t="s">
        <v>86</v>
      </c>
      <c r="H43" t="s">
        <v>86</v>
      </c>
    </row>
    <row r="44" spans="1:8" ht="15.6" x14ac:dyDescent="0.3">
      <c r="A44" t="s">
        <v>86</v>
      </c>
      <c r="B44" t="s">
        <v>86</v>
      </c>
      <c r="C44" t="s">
        <v>86</v>
      </c>
      <c r="D44" t="s">
        <v>86</v>
      </c>
      <c r="E44" t="s">
        <v>86</v>
      </c>
      <c r="F44" t="s">
        <v>86</v>
      </c>
      <c r="G44" t="s">
        <v>86</v>
      </c>
      <c r="H44" t="s">
        <v>86</v>
      </c>
    </row>
    <row r="45" spans="1:8" ht="15.6" x14ac:dyDescent="0.3">
      <c r="A45" t="s">
        <v>86</v>
      </c>
      <c r="B45" t="s">
        <v>86</v>
      </c>
      <c r="C45" t="s">
        <v>86</v>
      </c>
      <c r="D45" t="s">
        <v>86</v>
      </c>
      <c r="E45" t="s">
        <v>86</v>
      </c>
      <c r="F45" t="s">
        <v>86</v>
      </c>
      <c r="G45" t="s">
        <v>86</v>
      </c>
      <c r="H45" t="s">
        <v>86</v>
      </c>
    </row>
    <row r="46" spans="1:8" ht="15.6" x14ac:dyDescent="0.3">
      <c r="A46" t="s">
        <v>86</v>
      </c>
      <c r="B46" t="s">
        <v>86</v>
      </c>
      <c r="C46" t="s">
        <v>86</v>
      </c>
      <c r="D46" t="s">
        <v>86</v>
      </c>
      <c r="E46" t="s">
        <v>86</v>
      </c>
      <c r="F46" t="s">
        <v>86</v>
      </c>
      <c r="G46" t="s">
        <v>86</v>
      </c>
      <c r="H46" t="s">
        <v>86</v>
      </c>
    </row>
    <row r="47" spans="1:8" ht="15.6" x14ac:dyDescent="0.3">
      <c r="A47" t="s">
        <v>86</v>
      </c>
      <c r="B47" t="s">
        <v>86</v>
      </c>
      <c r="C47" t="s">
        <v>86</v>
      </c>
      <c r="D47" t="s">
        <v>86</v>
      </c>
      <c r="E47" t="s">
        <v>86</v>
      </c>
      <c r="F47" t="s">
        <v>86</v>
      </c>
      <c r="G47" t="s">
        <v>86</v>
      </c>
      <c r="H47" t="s">
        <v>86</v>
      </c>
    </row>
    <row r="48" spans="1:8" ht="15.6" x14ac:dyDescent="0.3">
      <c r="A48" t="s">
        <v>86</v>
      </c>
      <c r="B48" t="s">
        <v>86</v>
      </c>
      <c r="C48" t="s">
        <v>86</v>
      </c>
      <c r="D48" t="s">
        <v>86</v>
      </c>
      <c r="E48" t="s">
        <v>86</v>
      </c>
      <c r="F48" t="s">
        <v>86</v>
      </c>
      <c r="G48" t="s">
        <v>86</v>
      </c>
      <c r="H48" t="s">
        <v>86</v>
      </c>
    </row>
    <row r="49" spans="1:8" ht="15.6" x14ac:dyDescent="0.3">
      <c r="A49" t="s">
        <v>86</v>
      </c>
      <c r="B49" t="s">
        <v>86</v>
      </c>
      <c r="C49" t="s">
        <v>86</v>
      </c>
      <c r="D49" t="s">
        <v>86</v>
      </c>
      <c r="E49" t="s">
        <v>86</v>
      </c>
      <c r="F49" t="s">
        <v>86</v>
      </c>
      <c r="G49" t="s">
        <v>86</v>
      </c>
      <c r="H49" t="s">
        <v>86</v>
      </c>
    </row>
    <row r="50" spans="1:8" ht="15.6" x14ac:dyDescent="0.3">
      <c r="A50" t="s">
        <v>86</v>
      </c>
      <c r="B50" t="s">
        <v>86</v>
      </c>
      <c r="C50" t="s">
        <v>86</v>
      </c>
      <c r="D50" t="s">
        <v>86</v>
      </c>
      <c r="E50" t="s">
        <v>86</v>
      </c>
      <c r="F50" t="s">
        <v>86</v>
      </c>
      <c r="G50" t="s">
        <v>86</v>
      </c>
      <c r="H50" t="s">
        <v>86</v>
      </c>
    </row>
    <row r="51" spans="1:8" ht="15.6" x14ac:dyDescent="0.3">
      <c r="A51" t="s">
        <v>86</v>
      </c>
      <c r="B51" t="s">
        <v>86</v>
      </c>
      <c r="C51" t="s">
        <v>86</v>
      </c>
      <c r="D51" t="s">
        <v>86</v>
      </c>
      <c r="E51" t="s">
        <v>86</v>
      </c>
      <c r="F51" t="s">
        <v>86</v>
      </c>
      <c r="G51" t="s">
        <v>86</v>
      </c>
      <c r="H51" t="s">
        <v>86</v>
      </c>
    </row>
    <row r="52" spans="1:8" ht="15.6" x14ac:dyDescent="0.3">
      <c r="A52" t="s">
        <v>86</v>
      </c>
      <c r="B52" t="s">
        <v>86</v>
      </c>
      <c r="C52" t="s">
        <v>86</v>
      </c>
      <c r="D52" t="s">
        <v>86</v>
      </c>
      <c r="E52" t="s">
        <v>86</v>
      </c>
      <c r="F52" t="s">
        <v>86</v>
      </c>
      <c r="G52" t="s">
        <v>86</v>
      </c>
      <c r="H52" t="s">
        <v>86</v>
      </c>
    </row>
    <row r="53" spans="1:8" ht="15.6" x14ac:dyDescent="0.3">
      <c r="A53" t="s">
        <v>86</v>
      </c>
      <c r="B53" t="s">
        <v>86</v>
      </c>
      <c r="C53" t="s">
        <v>86</v>
      </c>
      <c r="D53" t="s">
        <v>86</v>
      </c>
      <c r="E53" t="s">
        <v>86</v>
      </c>
      <c r="F53" t="s">
        <v>86</v>
      </c>
      <c r="G53" t="s">
        <v>86</v>
      </c>
      <c r="H53" t="s">
        <v>86</v>
      </c>
    </row>
  </sheetData>
  <pageMargins left="0.7" right="0.7" top="0.75" bottom="0.75" header="0.3" footer="0.3"/>
  <ignoredErrors>
    <ignoredError sqref="A1:H12 A14:H53 B13:H1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2"/>
  <sheetViews>
    <sheetView topLeftCell="A3" workbookViewId="0">
      <selection activeCell="B17" sqref="B17"/>
    </sheetView>
  </sheetViews>
  <sheetFormatPr defaultRowHeight="14.4" x14ac:dyDescent="0.3"/>
  <cols>
    <col min="1" max="1" width="32.796875" customWidth="1"/>
    <col min="2" max="3" width="12.796875" customWidth="1"/>
    <col min="4" max="4" width="30.796875" customWidth="1"/>
    <col min="5" max="5" width="42.796875" customWidth="1"/>
    <col min="6" max="6" width="14.796875" customWidth="1"/>
    <col min="7" max="7" width="32.796875" customWidth="1"/>
    <col min="8" max="8" width="24.796875" customWidth="1"/>
  </cols>
  <sheetData>
    <row r="1" spans="1:8" ht="15.6" x14ac:dyDescent="0.3">
      <c r="A1" t="s">
        <v>99</v>
      </c>
    </row>
    <row r="2" spans="1:8" ht="15.6" x14ac:dyDescent="0.3">
      <c r="A2" t="s">
        <v>86</v>
      </c>
    </row>
    <row r="4" spans="1:8" ht="15.6" x14ac:dyDescent="0.3">
      <c r="A4" t="s">
        <v>85</v>
      </c>
    </row>
    <row r="5" spans="1:8" ht="15.6" x14ac:dyDescent="0.3">
      <c r="A5" t="s">
        <v>86</v>
      </c>
      <c r="B5" t="s">
        <v>100</v>
      </c>
    </row>
    <row r="6" spans="1:8" ht="15.6" x14ac:dyDescent="0.3">
      <c r="A6" t="s">
        <v>86</v>
      </c>
      <c r="B6" t="s">
        <v>101</v>
      </c>
    </row>
    <row r="7" spans="1:8" ht="15.6" x14ac:dyDescent="0.3">
      <c r="A7" t="s">
        <v>86</v>
      </c>
      <c r="B7" t="s">
        <v>102</v>
      </c>
    </row>
    <row r="9" spans="1:8" ht="15.6" x14ac:dyDescent="0.3">
      <c r="A9" t="s">
        <v>103</v>
      </c>
    </row>
    <row r="11" spans="1:8" ht="16.2" thickBot="1" x14ac:dyDescent="0.35">
      <c r="A11" t="s">
        <v>92</v>
      </c>
    </row>
    <row r="12" spans="1:8" ht="16.2" thickBot="1" x14ac:dyDescent="0.35">
      <c r="A12" s="20" t="s">
        <v>3</v>
      </c>
      <c r="B12" s="7" t="s">
        <v>2</v>
      </c>
      <c r="C12" s="7" t="s">
        <v>93</v>
      </c>
      <c r="D12" s="7" t="s">
        <v>94</v>
      </c>
      <c r="E12" s="7" t="s">
        <v>95</v>
      </c>
      <c r="F12" s="7" t="s">
        <v>96</v>
      </c>
      <c r="G12" s="7" t="s">
        <v>97</v>
      </c>
      <c r="H12" s="8" t="s">
        <v>98</v>
      </c>
    </row>
    <row r="13" spans="1:8" ht="15.6" x14ac:dyDescent="0.3">
      <c r="A13" s="4" t="s">
        <v>86</v>
      </c>
      <c r="B13" s="3" t="s">
        <v>86</v>
      </c>
      <c r="C13" s="4" t="s">
        <v>86</v>
      </c>
      <c r="D13" s="4" t="s">
        <v>86</v>
      </c>
      <c r="E13" s="4" t="s">
        <v>86</v>
      </c>
      <c r="F13" s="4" t="s">
        <v>86</v>
      </c>
      <c r="G13" s="4" t="s">
        <v>86</v>
      </c>
      <c r="H13" s="4" t="s">
        <v>86</v>
      </c>
    </row>
    <row r="14" spans="1:8" ht="15.6" x14ac:dyDescent="0.3">
      <c r="A14" t="s">
        <v>86</v>
      </c>
      <c r="B14" t="s">
        <v>86</v>
      </c>
      <c r="C14" s="2" t="s">
        <v>86</v>
      </c>
      <c r="D14" s="2" t="s">
        <v>86</v>
      </c>
      <c r="E14" s="2" t="s">
        <v>86</v>
      </c>
      <c r="F14" s="2" t="s">
        <v>86</v>
      </c>
      <c r="G14" s="2" t="s">
        <v>86</v>
      </c>
      <c r="H14" s="2" t="s">
        <v>86</v>
      </c>
    </row>
    <row r="15" spans="1:8" ht="15.6" x14ac:dyDescent="0.3">
      <c r="A15" t="s">
        <v>86</v>
      </c>
      <c r="B15" t="s">
        <v>86</v>
      </c>
      <c r="C15" s="2" t="s">
        <v>86</v>
      </c>
      <c r="D15" s="2" t="s">
        <v>86</v>
      </c>
      <c r="E15" s="2" t="s">
        <v>86</v>
      </c>
      <c r="F15" s="2" t="s">
        <v>86</v>
      </c>
      <c r="G15" s="2" t="s">
        <v>86</v>
      </c>
      <c r="H15" s="2" t="s">
        <v>86</v>
      </c>
    </row>
    <row r="16" spans="1:8" ht="15.6" x14ac:dyDescent="0.3">
      <c r="A16" t="s">
        <v>86</v>
      </c>
      <c r="B16" t="s">
        <v>86</v>
      </c>
      <c r="C16" s="2" t="s">
        <v>86</v>
      </c>
      <c r="D16" s="2" t="s">
        <v>86</v>
      </c>
      <c r="E16" s="2" t="s">
        <v>86</v>
      </c>
      <c r="F16" s="2" t="s">
        <v>86</v>
      </c>
      <c r="G16" s="2" t="s">
        <v>86</v>
      </c>
      <c r="H16" s="2" t="s">
        <v>86</v>
      </c>
    </row>
    <row r="17" spans="1:8" ht="15.6" x14ac:dyDescent="0.3">
      <c r="A17" t="s">
        <v>86</v>
      </c>
      <c r="B17" t="s">
        <v>86</v>
      </c>
      <c r="C17" s="2" t="s">
        <v>86</v>
      </c>
      <c r="D17" s="2" t="s">
        <v>86</v>
      </c>
      <c r="E17" s="2" t="s">
        <v>86</v>
      </c>
      <c r="F17" s="2" t="s">
        <v>86</v>
      </c>
      <c r="G17" s="2" t="s">
        <v>86</v>
      </c>
      <c r="H17" s="2" t="s">
        <v>86</v>
      </c>
    </row>
    <row r="18" spans="1:8" ht="15.6" x14ac:dyDescent="0.3">
      <c r="A18" t="s">
        <v>86</v>
      </c>
      <c r="B18" t="s">
        <v>86</v>
      </c>
      <c r="C18" s="2" t="s">
        <v>86</v>
      </c>
      <c r="D18" s="2" t="s">
        <v>86</v>
      </c>
      <c r="E18" s="2" t="s">
        <v>86</v>
      </c>
      <c r="F18" s="2" t="s">
        <v>86</v>
      </c>
      <c r="G18" s="2" t="s">
        <v>86</v>
      </c>
      <c r="H18" s="2" t="s">
        <v>86</v>
      </c>
    </row>
    <row r="19" spans="1:8" ht="15.6" x14ac:dyDescent="0.3">
      <c r="A19" t="s">
        <v>86</v>
      </c>
      <c r="B19" t="s">
        <v>86</v>
      </c>
      <c r="C19" s="2" t="s">
        <v>86</v>
      </c>
      <c r="D19" s="2" t="s">
        <v>86</v>
      </c>
      <c r="E19" s="2" t="s">
        <v>86</v>
      </c>
      <c r="F19" s="2" t="s">
        <v>86</v>
      </c>
      <c r="G19" s="2" t="s">
        <v>86</v>
      </c>
      <c r="H19" s="2" t="s">
        <v>86</v>
      </c>
    </row>
    <row r="20" spans="1:8" ht="15.6" x14ac:dyDescent="0.3">
      <c r="A20" t="s">
        <v>86</v>
      </c>
      <c r="B20" t="s">
        <v>86</v>
      </c>
      <c r="C20" s="2" t="s">
        <v>86</v>
      </c>
      <c r="D20" s="2" t="s">
        <v>86</v>
      </c>
      <c r="E20" s="2" t="s">
        <v>86</v>
      </c>
      <c r="F20" s="2" t="s">
        <v>86</v>
      </c>
      <c r="G20" s="2" t="s">
        <v>86</v>
      </c>
      <c r="H20" s="2" t="s">
        <v>86</v>
      </c>
    </row>
    <row r="21" spans="1:8" ht="15.6" x14ac:dyDescent="0.3">
      <c r="A21" t="s">
        <v>86</v>
      </c>
      <c r="B21" t="s">
        <v>86</v>
      </c>
      <c r="C21" s="2" t="s">
        <v>86</v>
      </c>
      <c r="D21" s="2" t="s">
        <v>86</v>
      </c>
      <c r="E21" s="2" t="s">
        <v>86</v>
      </c>
      <c r="F21" s="2" t="s">
        <v>86</v>
      </c>
      <c r="G21" s="2" t="s">
        <v>86</v>
      </c>
      <c r="H21" s="2" t="s">
        <v>86</v>
      </c>
    </row>
    <row r="22" spans="1:8" ht="15.6" x14ac:dyDescent="0.3">
      <c r="A22" t="s">
        <v>86</v>
      </c>
      <c r="B22" t="s">
        <v>86</v>
      </c>
      <c r="C22" s="2" t="s">
        <v>86</v>
      </c>
      <c r="D22" s="2" t="s">
        <v>86</v>
      </c>
      <c r="E22" s="2" t="s">
        <v>86</v>
      </c>
      <c r="F22" s="2" t="s">
        <v>86</v>
      </c>
      <c r="G22" s="2" t="s">
        <v>86</v>
      </c>
      <c r="H22" s="2" t="s">
        <v>86</v>
      </c>
    </row>
    <row r="23" spans="1:8" ht="15.6" x14ac:dyDescent="0.3">
      <c r="A23" t="s">
        <v>86</v>
      </c>
      <c r="B23" t="s">
        <v>86</v>
      </c>
      <c r="C23" s="2" t="s">
        <v>86</v>
      </c>
      <c r="D23" s="2" t="s">
        <v>86</v>
      </c>
      <c r="E23" s="2" t="s">
        <v>86</v>
      </c>
      <c r="F23" s="2" t="s">
        <v>86</v>
      </c>
      <c r="G23" s="2" t="s">
        <v>86</v>
      </c>
      <c r="H23" s="2" t="s">
        <v>86</v>
      </c>
    </row>
    <row r="24" spans="1:8" ht="15.6" x14ac:dyDescent="0.3">
      <c r="A24" t="s">
        <v>86</v>
      </c>
      <c r="B24" t="s">
        <v>86</v>
      </c>
      <c r="C24" s="2" t="s">
        <v>86</v>
      </c>
      <c r="D24" s="2" t="s">
        <v>86</v>
      </c>
      <c r="E24" s="2" t="s">
        <v>86</v>
      </c>
      <c r="F24" s="2" t="s">
        <v>86</v>
      </c>
      <c r="G24" s="2" t="s">
        <v>86</v>
      </c>
      <c r="H24" s="2" t="s">
        <v>86</v>
      </c>
    </row>
    <row r="25" spans="1:8" ht="15.6" x14ac:dyDescent="0.3">
      <c r="A25" t="s">
        <v>86</v>
      </c>
      <c r="B25" t="s">
        <v>86</v>
      </c>
      <c r="C25" s="2" t="s">
        <v>86</v>
      </c>
      <c r="D25" s="2" t="s">
        <v>86</v>
      </c>
      <c r="E25" s="2" t="s">
        <v>86</v>
      </c>
      <c r="F25" s="2" t="s">
        <v>86</v>
      </c>
      <c r="G25" s="2" t="s">
        <v>86</v>
      </c>
      <c r="H25" s="2" t="s">
        <v>86</v>
      </c>
    </row>
    <row r="26" spans="1:8" ht="15.6" x14ac:dyDescent="0.3">
      <c r="A26" t="s">
        <v>86</v>
      </c>
      <c r="B26" t="s">
        <v>86</v>
      </c>
      <c r="C26" s="2" t="s">
        <v>86</v>
      </c>
      <c r="D26" s="2" t="s">
        <v>86</v>
      </c>
      <c r="E26" s="2" t="s">
        <v>86</v>
      </c>
      <c r="F26" s="2" t="s">
        <v>86</v>
      </c>
      <c r="G26" s="2" t="s">
        <v>86</v>
      </c>
      <c r="H26" s="2" t="s">
        <v>86</v>
      </c>
    </row>
    <row r="27" spans="1:8" ht="15.6" x14ac:dyDescent="0.3">
      <c r="A27" t="s">
        <v>86</v>
      </c>
      <c r="B27" t="s">
        <v>86</v>
      </c>
      <c r="C27" s="2" t="s">
        <v>86</v>
      </c>
      <c r="D27" s="2" t="s">
        <v>86</v>
      </c>
      <c r="E27" s="2" t="s">
        <v>86</v>
      </c>
      <c r="F27" s="2" t="s">
        <v>86</v>
      </c>
      <c r="G27" s="2" t="s">
        <v>86</v>
      </c>
      <c r="H27" s="2" t="s">
        <v>86</v>
      </c>
    </row>
    <row r="28" spans="1:8" ht="15.6" x14ac:dyDescent="0.3">
      <c r="A28" t="s">
        <v>86</v>
      </c>
      <c r="B28" t="s">
        <v>86</v>
      </c>
      <c r="C28" s="2" t="s">
        <v>86</v>
      </c>
      <c r="D28" s="2" t="s">
        <v>86</v>
      </c>
      <c r="E28" s="2" t="s">
        <v>86</v>
      </c>
      <c r="F28" s="2" t="s">
        <v>86</v>
      </c>
      <c r="G28" s="2" t="s">
        <v>86</v>
      </c>
      <c r="H28" s="2" t="s">
        <v>86</v>
      </c>
    </row>
    <row r="29" spans="1:8" ht="15.6" x14ac:dyDescent="0.3">
      <c r="A29" t="s">
        <v>86</v>
      </c>
      <c r="B29" t="s">
        <v>86</v>
      </c>
      <c r="C29" s="2" t="s">
        <v>86</v>
      </c>
      <c r="D29" s="2" t="s">
        <v>86</v>
      </c>
      <c r="E29" s="2" t="s">
        <v>86</v>
      </c>
      <c r="F29" s="2" t="s">
        <v>86</v>
      </c>
      <c r="G29" s="2" t="s">
        <v>86</v>
      </c>
      <c r="H29" s="2" t="s">
        <v>86</v>
      </c>
    </row>
    <row r="30" spans="1:8" ht="15.6" x14ac:dyDescent="0.3">
      <c r="A30" t="s">
        <v>86</v>
      </c>
      <c r="B30" t="s">
        <v>86</v>
      </c>
      <c r="C30" s="2" t="s">
        <v>86</v>
      </c>
      <c r="D30" s="2" t="s">
        <v>86</v>
      </c>
      <c r="E30" s="2" t="s">
        <v>86</v>
      </c>
      <c r="F30" s="2" t="s">
        <v>86</v>
      </c>
      <c r="G30" s="2" t="s">
        <v>86</v>
      </c>
      <c r="H30" s="2" t="s">
        <v>86</v>
      </c>
    </row>
    <row r="31" spans="1:8" ht="15.6" x14ac:dyDescent="0.3">
      <c r="A31" t="s">
        <v>86</v>
      </c>
      <c r="B31" t="s">
        <v>86</v>
      </c>
      <c r="C31" t="s">
        <v>86</v>
      </c>
      <c r="D31" t="s">
        <v>86</v>
      </c>
      <c r="E31" t="s">
        <v>86</v>
      </c>
      <c r="F31" t="s">
        <v>86</v>
      </c>
      <c r="G31" t="s">
        <v>86</v>
      </c>
      <c r="H31" t="s">
        <v>86</v>
      </c>
    </row>
    <row r="32" spans="1:8" ht="15.6" x14ac:dyDescent="0.3">
      <c r="A32" t="s">
        <v>86</v>
      </c>
      <c r="B32" t="s">
        <v>86</v>
      </c>
      <c r="C32" t="s">
        <v>86</v>
      </c>
      <c r="D32" t="s">
        <v>86</v>
      </c>
      <c r="E32" t="s">
        <v>86</v>
      </c>
      <c r="F32" t="s">
        <v>86</v>
      </c>
      <c r="G32" t="s">
        <v>86</v>
      </c>
      <c r="H32" t="s">
        <v>86</v>
      </c>
    </row>
    <row r="33" spans="1:8" ht="15.6" x14ac:dyDescent="0.3">
      <c r="A33" t="s">
        <v>86</v>
      </c>
      <c r="B33" t="s">
        <v>86</v>
      </c>
      <c r="C33" t="s">
        <v>86</v>
      </c>
      <c r="D33" t="s">
        <v>86</v>
      </c>
      <c r="E33" t="s">
        <v>86</v>
      </c>
      <c r="F33" t="s">
        <v>86</v>
      </c>
      <c r="G33" t="s">
        <v>86</v>
      </c>
      <c r="H33" t="s">
        <v>86</v>
      </c>
    </row>
    <row r="34" spans="1:8" ht="15.6" x14ac:dyDescent="0.3">
      <c r="A34" t="s">
        <v>86</v>
      </c>
      <c r="B34" t="s">
        <v>86</v>
      </c>
      <c r="C34" t="s">
        <v>86</v>
      </c>
      <c r="D34" t="s">
        <v>86</v>
      </c>
      <c r="E34" t="s">
        <v>86</v>
      </c>
      <c r="F34" t="s">
        <v>86</v>
      </c>
      <c r="G34" t="s">
        <v>86</v>
      </c>
      <c r="H34" t="s">
        <v>86</v>
      </c>
    </row>
    <row r="35" spans="1:8" ht="15.6" x14ac:dyDescent="0.3">
      <c r="A35" t="s">
        <v>86</v>
      </c>
      <c r="B35" t="s">
        <v>86</v>
      </c>
      <c r="C35" t="s">
        <v>86</v>
      </c>
      <c r="D35" t="s">
        <v>86</v>
      </c>
      <c r="E35" t="s">
        <v>86</v>
      </c>
      <c r="F35" t="s">
        <v>86</v>
      </c>
      <c r="G35" t="s">
        <v>86</v>
      </c>
      <c r="H35" t="s">
        <v>86</v>
      </c>
    </row>
    <row r="36" spans="1:8" ht="15.6" x14ac:dyDescent="0.3">
      <c r="A36" t="s">
        <v>86</v>
      </c>
      <c r="B36" t="s">
        <v>86</v>
      </c>
      <c r="C36" t="s">
        <v>86</v>
      </c>
      <c r="D36" t="s">
        <v>86</v>
      </c>
      <c r="E36" t="s">
        <v>86</v>
      </c>
      <c r="F36" t="s">
        <v>86</v>
      </c>
      <c r="G36" t="s">
        <v>86</v>
      </c>
      <c r="H36" t="s">
        <v>86</v>
      </c>
    </row>
    <row r="37" spans="1:8" ht="15.6" x14ac:dyDescent="0.3">
      <c r="A37" t="s">
        <v>86</v>
      </c>
      <c r="B37" t="s">
        <v>86</v>
      </c>
      <c r="C37" t="s">
        <v>86</v>
      </c>
      <c r="D37" t="s">
        <v>86</v>
      </c>
      <c r="E37" t="s">
        <v>86</v>
      </c>
      <c r="F37" t="s">
        <v>86</v>
      </c>
      <c r="G37" t="s">
        <v>86</v>
      </c>
      <c r="H37" t="s">
        <v>86</v>
      </c>
    </row>
    <row r="38" spans="1:8" ht="15.6" x14ac:dyDescent="0.3">
      <c r="A38" t="s">
        <v>86</v>
      </c>
      <c r="B38" t="s">
        <v>86</v>
      </c>
      <c r="C38" t="s">
        <v>86</v>
      </c>
      <c r="D38" t="s">
        <v>86</v>
      </c>
      <c r="E38" t="s">
        <v>86</v>
      </c>
      <c r="F38" t="s">
        <v>86</v>
      </c>
      <c r="G38" t="s">
        <v>86</v>
      </c>
      <c r="H38" t="s">
        <v>86</v>
      </c>
    </row>
    <row r="39" spans="1:8" ht="15.6" x14ac:dyDescent="0.3">
      <c r="A39" t="s">
        <v>86</v>
      </c>
      <c r="B39" t="s">
        <v>86</v>
      </c>
      <c r="C39" t="s">
        <v>86</v>
      </c>
      <c r="D39" t="s">
        <v>86</v>
      </c>
      <c r="E39" t="s">
        <v>86</v>
      </c>
      <c r="F39" t="s">
        <v>86</v>
      </c>
      <c r="G39" t="s">
        <v>86</v>
      </c>
      <c r="H39" t="s">
        <v>86</v>
      </c>
    </row>
    <row r="40" spans="1:8" ht="15.6" x14ac:dyDescent="0.3">
      <c r="A40" t="s">
        <v>86</v>
      </c>
      <c r="B40" t="s">
        <v>86</v>
      </c>
      <c r="C40" t="s">
        <v>86</v>
      </c>
      <c r="D40" t="s">
        <v>86</v>
      </c>
      <c r="E40" t="s">
        <v>86</v>
      </c>
      <c r="F40" t="s">
        <v>86</v>
      </c>
      <c r="G40" t="s">
        <v>86</v>
      </c>
      <c r="H40" t="s">
        <v>86</v>
      </c>
    </row>
    <row r="41" spans="1:8" ht="15.6" x14ac:dyDescent="0.3">
      <c r="A41" t="s">
        <v>86</v>
      </c>
      <c r="B41" t="s">
        <v>86</v>
      </c>
      <c r="C41" t="s">
        <v>86</v>
      </c>
      <c r="D41" t="s">
        <v>86</v>
      </c>
      <c r="E41" t="s">
        <v>86</v>
      </c>
      <c r="F41" t="s">
        <v>86</v>
      </c>
      <c r="G41" t="s">
        <v>86</v>
      </c>
      <c r="H41" t="s">
        <v>86</v>
      </c>
    </row>
    <row r="42" spans="1:8" ht="15.6" x14ac:dyDescent="0.3">
      <c r="A42" t="s">
        <v>86</v>
      </c>
      <c r="B42" t="s">
        <v>86</v>
      </c>
      <c r="C42" t="s">
        <v>86</v>
      </c>
      <c r="D42" t="s">
        <v>86</v>
      </c>
      <c r="E42" t="s">
        <v>86</v>
      </c>
      <c r="F42" t="s">
        <v>86</v>
      </c>
      <c r="G42" t="s">
        <v>86</v>
      </c>
      <c r="H42" t="s">
        <v>86</v>
      </c>
    </row>
    <row r="43" spans="1:8" ht="15.6" x14ac:dyDescent="0.3">
      <c r="A43" t="s">
        <v>86</v>
      </c>
      <c r="B43" t="s">
        <v>86</v>
      </c>
      <c r="C43" t="s">
        <v>86</v>
      </c>
      <c r="D43" t="s">
        <v>86</v>
      </c>
      <c r="E43" t="s">
        <v>86</v>
      </c>
      <c r="F43" t="s">
        <v>86</v>
      </c>
      <c r="G43" t="s">
        <v>86</v>
      </c>
      <c r="H43" t="s">
        <v>86</v>
      </c>
    </row>
    <row r="44" spans="1:8" ht="15.6" x14ac:dyDescent="0.3">
      <c r="A44" t="s">
        <v>86</v>
      </c>
      <c r="B44" t="s">
        <v>86</v>
      </c>
      <c r="C44" t="s">
        <v>86</v>
      </c>
      <c r="D44" t="s">
        <v>86</v>
      </c>
      <c r="E44" t="s">
        <v>86</v>
      </c>
      <c r="F44" t="s">
        <v>86</v>
      </c>
      <c r="G44" t="s">
        <v>86</v>
      </c>
      <c r="H44" t="s">
        <v>86</v>
      </c>
    </row>
    <row r="45" spans="1:8" ht="15.6" x14ac:dyDescent="0.3">
      <c r="A45" t="s">
        <v>86</v>
      </c>
      <c r="B45" t="s">
        <v>86</v>
      </c>
      <c r="C45" t="s">
        <v>86</v>
      </c>
      <c r="D45" t="s">
        <v>86</v>
      </c>
      <c r="E45" t="s">
        <v>86</v>
      </c>
      <c r="F45" t="s">
        <v>86</v>
      </c>
      <c r="G45" t="s">
        <v>86</v>
      </c>
      <c r="H45" t="s">
        <v>86</v>
      </c>
    </row>
    <row r="46" spans="1:8" ht="15.6" x14ac:dyDescent="0.3">
      <c r="A46" t="s">
        <v>86</v>
      </c>
      <c r="B46" t="s">
        <v>86</v>
      </c>
      <c r="C46" t="s">
        <v>86</v>
      </c>
      <c r="D46" t="s">
        <v>86</v>
      </c>
      <c r="E46" t="s">
        <v>86</v>
      </c>
      <c r="F46" t="s">
        <v>86</v>
      </c>
      <c r="G46" t="s">
        <v>86</v>
      </c>
      <c r="H46" t="s">
        <v>86</v>
      </c>
    </row>
    <row r="47" spans="1:8" ht="15.6" x14ac:dyDescent="0.3">
      <c r="A47" t="s">
        <v>86</v>
      </c>
      <c r="B47" t="s">
        <v>86</v>
      </c>
      <c r="C47" t="s">
        <v>86</v>
      </c>
      <c r="D47" t="s">
        <v>86</v>
      </c>
      <c r="E47" t="s">
        <v>86</v>
      </c>
      <c r="F47" t="s">
        <v>86</v>
      </c>
      <c r="G47" t="s">
        <v>86</v>
      </c>
      <c r="H47" t="s">
        <v>86</v>
      </c>
    </row>
    <row r="48" spans="1:8" ht="15.6" x14ac:dyDescent="0.3">
      <c r="A48" t="s">
        <v>86</v>
      </c>
      <c r="B48" t="s">
        <v>86</v>
      </c>
      <c r="C48" t="s">
        <v>86</v>
      </c>
      <c r="D48" t="s">
        <v>86</v>
      </c>
      <c r="E48" t="s">
        <v>86</v>
      </c>
      <c r="F48" t="s">
        <v>86</v>
      </c>
      <c r="G48" t="s">
        <v>86</v>
      </c>
      <c r="H48" t="s">
        <v>86</v>
      </c>
    </row>
    <row r="49" spans="1:8" ht="15.6" x14ac:dyDescent="0.3">
      <c r="A49" t="s">
        <v>86</v>
      </c>
      <c r="B49" t="s">
        <v>86</v>
      </c>
      <c r="C49" t="s">
        <v>86</v>
      </c>
      <c r="D49" t="s">
        <v>86</v>
      </c>
      <c r="E49" t="s">
        <v>86</v>
      </c>
      <c r="F49" t="s">
        <v>86</v>
      </c>
      <c r="G49" t="s">
        <v>86</v>
      </c>
      <c r="H49" t="s">
        <v>86</v>
      </c>
    </row>
    <row r="50" spans="1:8" ht="15.6" x14ac:dyDescent="0.3">
      <c r="A50" t="s">
        <v>86</v>
      </c>
      <c r="B50" t="s">
        <v>86</v>
      </c>
      <c r="C50" t="s">
        <v>86</v>
      </c>
      <c r="D50" t="s">
        <v>86</v>
      </c>
      <c r="E50" t="s">
        <v>86</v>
      </c>
      <c r="F50" t="s">
        <v>86</v>
      </c>
      <c r="G50" t="s">
        <v>86</v>
      </c>
      <c r="H50" t="s">
        <v>86</v>
      </c>
    </row>
    <row r="51" spans="1:8" ht="15.6" x14ac:dyDescent="0.3">
      <c r="A51" t="s">
        <v>86</v>
      </c>
      <c r="B51" t="s">
        <v>86</v>
      </c>
      <c r="C51" t="s">
        <v>86</v>
      </c>
      <c r="D51" t="s">
        <v>86</v>
      </c>
      <c r="E51" t="s">
        <v>86</v>
      </c>
      <c r="F51" t="s">
        <v>86</v>
      </c>
      <c r="G51" t="s">
        <v>86</v>
      </c>
      <c r="H51" t="s">
        <v>86</v>
      </c>
    </row>
    <row r="52" spans="1:8" ht="15.6" x14ac:dyDescent="0.3">
      <c r="A52" t="s">
        <v>86</v>
      </c>
      <c r="B52" t="s">
        <v>86</v>
      </c>
      <c r="C52" t="s">
        <v>86</v>
      </c>
      <c r="D52" t="s">
        <v>86</v>
      </c>
      <c r="E52" t="s">
        <v>86</v>
      </c>
      <c r="F52" t="s">
        <v>86</v>
      </c>
      <c r="G52" t="s">
        <v>86</v>
      </c>
      <c r="H52" t="s">
        <v>86</v>
      </c>
    </row>
  </sheetData>
  <pageMargins left="0.7" right="0.7" top="0.75" bottom="0.75" header="0.3" footer="0.3"/>
  <ignoredErrors>
    <ignoredError sqref="A1:H5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2"/>
  <sheetViews>
    <sheetView workbookViewId="0">
      <selection activeCell="C3" sqref="C3"/>
    </sheetView>
  </sheetViews>
  <sheetFormatPr defaultRowHeight="14.4" x14ac:dyDescent="0.3"/>
  <cols>
    <col min="1" max="1" width="32.796875" customWidth="1"/>
    <col min="2" max="3" width="12.796875" customWidth="1"/>
    <col min="4" max="4" width="30.796875" customWidth="1"/>
    <col min="5" max="5" width="42.796875" customWidth="1"/>
    <col min="6" max="6" width="14.796875" customWidth="1"/>
    <col min="7" max="7" width="32.796875" customWidth="1"/>
    <col min="8" max="8" width="24.796875" customWidth="1"/>
  </cols>
  <sheetData>
    <row r="1" spans="1:8" ht="15.6" x14ac:dyDescent="0.3">
      <c r="A1" t="s">
        <v>104</v>
      </c>
    </row>
    <row r="2" spans="1:8" ht="15.6" x14ac:dyDescent="0.3">
      <c r="A2" t="s">
        <v>86</v>
      </c>
    </row>
    <row r="4" spans="1:8" ht="15.6" x14ac:dyDescent="0.3">
      <c r="A4" t="s">
        <v>85</v>
      </c>
    </row>
    <row r="5" spans="1:8" ht="15.6" x14ac:dyDescent="0.3">
      <c r="A5" t="s">
        <v>86</v>
      </c>
      <c r="B5" t="s">
        <v>105</v>
      </c>
    </row>
    <row r="6" spans="1:8" ht="15.6" x14ac:dyDescent="0.3">
      <c r="A6" t="s">
        <v>86</v>
      </c>
      <c r="B6" t="s">
        <v>106</v>
      </c>
    </row>
    <row r="7" spans="1:8" ht="15.6" x14ac:dyDescent="0.3">
      <c r="A7" t="s">
        <v>86</v>
      </c>
      <c r="B7" t="s">
        <v>107</v>
      </c>
    </row>
    <row r="9" spans="1:8" ht="15.6" x14ac:dyDescent="0.3">
      <c r="A9" t="s">
        <v>108</v>
      </c>
    </row>
    <row r="11" spans="1:8" ht="16.2" thickBot="1" x14ac:dyDescent="0.35">
      <c r="A11" t="s">
        <v>92</v>
      </c>
    </row>
    <row r="12" spans="1:8" ht="16.2" thickBot="1" x14ac:dyDescent="0.35">
      <c r="A12" s="20" t="s">
        <v>3</v>
      </c>
      <c r="B12" s="7" t="s">
        <v>2</v>
      </c>
      <c r="C12" s="7" t="s">
        <v>93</v>
      </c>
      <c r="D12" s="7" t="s">
        <v>94</v>
      </c>
      <c r="E12" s="7" t="s">
        <v>95</v>
      </c>
      <c r="F12" s="7" t="s">
        <v>96</v>
      </c>
      <c r="G12" s="7" t="s">
        <v>97</v>
      </c>
      <c r="H12" s="8" t="s">
        <v>98</v>
      </c>
    </row>
    <row r="13" spans="1:8" ht="15.6" x14ac:dyDescent="0.3">
      <c r="A13" s="4" t="s">
        <v>86</v>
      </c>
      <c r="B13" s="3" t="s">
        <v>86</v>
      </c>
      <c r="C13" s="4" t="s">
        <v>86</v>
      </c>
      <c r="D13" s="4" t="s">
        <v>86</v>
      </c>
      <c r="E13" s="4" t="s">
        <v>86</v>
      </c>
      <c r="F13" s="4" t="s">
        <v>86</v>
      </c>
      <c r="G13" s="4" t="s">
        <v>86</v>
      </c>
      <c r="H13" s="4" t="s">
        <v>86</v>
      </c>
    </row>
    <row r="14" spans="1:8" ht="15.6" x14ac:dyDescent="0.3">
      <c r="A14" t="s">
        <v>86</v>
      </c>
      <c r="B14" s="21" t="s">
        <v>86</v>
      </c>
      <c r="C14" s="2" t="s">
        <v>86</v>
      </c>
      <c r="D14" s="2" t="s">
        <v>86</v>
      </c>
      <c r="E14" s="2" t="s">
        <v>86</v>
      </c>
      <c r="F14" s="2" t="s">
        <v>86</v>
      </c>
      <c r="G14" s="2" t="s">
        <v>86</v>
      </c>
      <c r="H14" s="2" t="s">
        <v>86</v>
      </c>
    </row>
    <row r="15" spans="1:8" ht="15.6" x14ac:dyDescent="0.3">
      <c r="A15" t="s">
        <v>86</v>
      </c>
      <c r="B15" s="21" t="s">
        <v>86</v>
      </c>
      <c r="C15" s="2" t="s">
        <v>86</v>
      </c>
      <c r="D15" s="2" t="s">
        <v>86</v>
      </c>
      <c r="E15" s="2" t="s">
        <v>86</v>
      </c>
      <c r="F15" s="2" t="s">
        <v>86</v>
      </c>
      <c r="G15" s="2" t="s">
        <v>86</v>
      </c>
      <c r="H15" s="2" t="s">
        <v>86</v>
      </c>
    </row>
    <row r="16" spans="1:8" ht="15.6" x14ac:dyDescent="0.3">
      <c r="A16" t="s">
        <v>86</v>
      </c>
      <c r="B16" s="21" t="s">
        <v>86</v>
      </c>
      <c r="C16" s="2" t="s">
        <v>86</v>
      </c>
      <c r="D16" s="2" t="s">
        <v>86</v>
      </c>
      <c r="E16" s="2" t="s">
        <v>86</v>
      </c>
      <c r="F16" s="2" t="s">
        <v>86</v>
      </c>
      <c r="G16" s="2" t="s">
        <v>86</v>
      </c>
      <c r="H16" s="2" t="s">
        <v>86</v>
      </c>
    </row>
    <row r="17" spans="1:8" ht="15.6" x14ac:dyDescent="0.3">
      <c r="A17" t="s">
        <v>86</v>
      </c>
      <c r="B17" s="21" t="s">
        <v>86</v>
      </c>
      <c r="C17" s="2" t="s">
        <v>86</v>
      </c>
      <c r="D17" s="2" t="s">
        <v>86</v>
      </c>
      <c r="E17" s="2" t="s">
        <v>86</v>
      </c>
      <c r="F17" s="2" t="s">
        <v>86</v>
      </c>
      <c r="G17" s="2" t="s">
        <v>86</v>
      </c>
      <c r="H17" s="2" t="s">
        <v>86</v>
      </c>
    </row>
    <row r="18" spans="1:8" ht="15.6" x14ac:dyDescent="0.3">
      <c r="A18" t="s">
        <v>86</v>
      </c>
      <c r="B18" s="21" t="s">
        <v>86</v>
      </c>
      <c r="C18" s="2" t="s">
        <v>86</v>
      </c>
      <c r="D18" s="2" t="s">
        <v>86</v>
      </c>
      <c r="E18" s="2" t="s">
        <v>86</v>
      </c>
      <c r="F18" s="2" t="s">
        <v>86</v>
      </c>
      <c r="G18" s="2" t="s">
        <v>86</v>
      </c>
      <c r="H18" s="2" t="s">
        <v>86</v>
      </c>
    </row>
    <row r="19" spans="1:8" ht="15.6" x14ac:dyDescent="0.3">
      <c r="A19" t="s">
        <v>86</v>
      </c>
      <c r="B19" s="21" t="s">
        <v>86</v>
      </c>
      <c r="C19" s="2" t="s">
        <v>86</v>
      </c>
      <c r="D19" s="2" t="s">
        <v>86</v>
      </c>
      <c r="E19" s="2" t="s">
        <v>86</v>
      </c>
      <c r="F19" s="2" t="s">
        <v>86</v>
      </c>
      <c r="G19" s="2" t="s">
        <v>86</v>
      </c>
      <c r="H19" s="2" t="s">
        <v>86</v>
      </c>
    </row>
    <row r="20" spans="1:8" ht="15.6" x14ac:dyDescent="0.3">
      <c r="A20" t="s">
        <v>86</v>
      </c>
      <c r="B20" s="21" t="s">
        <v>86</v>
      </c>
      <c r="C20" s="2" t="s">
        <v>86</v>
      </c>
      <c r="D20" s="2" t="s">
        <v>86</v>
      </c>
      <c r="E20" s="2" t="s">
        <v>86</v>
      </c>
      <c r="F20" s="2" t="s">
        <v>86</v>
      </c>
      <c r="G20" s="2" t="s">
        <v>86</v>
      </c>
      <c r="H20" s="2" t="s">
        <v>86</v>
      </c>
    </row>
    <row r="21" spans="1:8" ht="15.6" x14ac:dyDescent="0.3">
      <c r="A21" t="s">
        <v>86</v>
      </c>
      <c r="B21" s="21" t="s">
        <v>86</v>
      </c>
      <c r="C21" s="2" t="s">
        <v>86</v>
      </c>
      <c r="D21" s="2" t="s">
        <v>86</v>
      </c>
      <c r="E21" s="2" t="s">
        <v>86</v>
      </c>
      <c r="F21" s="2" t="s">
        <v>86</v>
      </c>
      <c r="G21" s="2" t="s">
        <v>86</v>
      </c>
      <c r="H21" s="2" t="s">
        <v>86</v>
      </c>
    </row>
    <row r="22" spans="1:8" ht="15.6" x14ac:dyDescent="0.3">
      <c r="A22" t="s">
        <v>86</v>
      </c>
      <c r="B22" s="21" t="s">
        <v>86</v>
      </c>
      <c r="C22" s="2" t="s">
        <v>86</v>
      </c>
      <c r="D22" s="2" t="s">
        <v>86</v>
      </c>
      <c r="E22" s="2" t="s">
        <v>86</v>
      </c>
      <c r="F22" s="2" t="s">
        <v>86</v>
      </c>
      <c r="G22" s="2" t="s">
        <v>86</v>
      </c>
      <c r="H22" s="2" t="s">
        <v>86</v>
      </c>
    </row>
    <row r="23" spans="1:8" ht="15.6" x14ac:dyDescent="0.3">
      <c r="A23" t="s">
        <v>86</v>
      </c>
      <c r="B23" s="21" t="s">
        <v>86</v>
      </c>
      <c r="C23" s="2" t="s">
        <v>86</v>
      </c>
      <c r="D23" s="2" t="s">
        <v>86</v>
      </c>
      <c r="E23" s="2" t="s">
        <v>86</v>
      </c>
      <c r="F23" s="2" t="s">
        <v>86</v>
      </c>
      <c r="G23" s="2" t="s">
        <v>86</v>
      </c>
      <c r="H23" s="2" t="s">
        <v>86</v>
      </c>
    </row>
    <row r="24" spans="1:8" ht="15.6" x14ac:dyDescent="0.3">
      <c r="A24" t="s">
        <v>86</v>
      </c>
      <c r="B24" s="21" t="s">
        <v>86</v>
      </c>
      <c r="C24" s="2" t="s">
        <v>86</v>
      </c>
      <c r="D24" s="2" t="s">
        <v>86</v>
      </c>
      <c r="E24" s="2" t="s">
        <v>86</v>
      </c>
      <c r="F24" s="2" t="s">
        <v>86</v>
      </c>
      <c r="G24" s="2" t="s">
        <v>86</v>
      </c>
      <c r="H24" s="2" t="s">
        <v>86</v>
      </c>
    </row>
    <row r="25" spans="1:8" ht="15.6" x14ac:dyDescent="0.3">
      <c r="A25" t="s">
        <v>86</v>
      </c>
      <c r="B25" s="21" t="s">
        <v>86</v>
      </c>
      <c r="C25" s="2" t="s">
        <v>86</v>
      </c>
      <c r="D25" s="2" t="s">
        <v>86</v>
      </c>
      <c r="E25" s="2" t="s">
        <v>86</v>
      </c>
      <c r="F25" s="2" t="s">
        <v>86</v>
      </c>
      <c r="G25" s="2" t="s">
        <v>86</v>
      </c>
      <c r="H25" s="2" t="s">
        <v>86</v>
      </c>
    </row>
    <row r="26" spans="1:8" ht="15.6" x14ac:dyDescent="0.3">
      <c r="A26" t="s">
        <v>86</v>
      </c>
      <c r="B26" s="21" t="s">
        <v>86</v>
      </c>
      <c r="C26" s="2" t="s">
        <v>86</v>
      </c>
      <c r="D26" s="2" t="s">
        <v>86</v>
      </c>
      <c r="E26" s="2" t="s">
        <v>86</v>
      </c>
      <c r="F26" s="2" t="s">
        <v>86</v>
      </c>
      <c r="G26" s="2" t="s">
        <v>86</v>
      </c>
      <c r="H26" s="2" t="s">
        <v>86</v>
      </c>
    </row>
    <row r="27" spans="1:8" ht="15.6" x14ac:dyDescent="0.3">
      <c r="A27" t="s">
        <v>86</v>
      </c>
      <c r="B27" s="21" t="s">
        <v>86</v>
      </c>
      <c r="C27" s="2" t="s">
        <v>86</v>
      </c>
      <c r="D27" s="2" t="s">
        <v>86</v>
      </c>
      <c r="E27" s="2" t="s">
        <v>86</v>
      </c>
      <c r="F27" s="2" t="s">
        <v>86</v>
      </c>
      <c r="G27" s="2" t="s">
        <v>86</v>
      </c>
      <c r="H27" s="2" t="s">
        <v>86</v>
      </c>
    </row>
    <row r="28" spans="1:8" ht="15.6" x14ac:dyDescent="0.3">
      <c r="A28" t="s">
        <v>86</v>
      </c>
      <c r="B28" s="21" t="s">
        <v>86</v>
      </c>
      <c r="C28" s="2" t="s">
        <v>86</v>
      </c>
      <c r="D28" s="2" t="s">
        <v>86</v>
      </c>
      <c r="E28" s="2" t="s">
        <v>86</v>
      </c>
      <c r="F28" s="2" t="s">
        <v>86</v>
      </c>
      <c r="G28" s="2" t="s">
        <v>86</v>
      </c>
      <c r="H28" s="2" t="s">
        <v>86</v>
      </c>
    </row>
    <row r="29" spans="1:8" ht="15.6" x14ac:dyDescent="0.3">
      <c r="A29" t="s">
        <v>86</v>
      </c>
      <c r="B29" s="21" t="s">
        <v>86</v>
      </c>
      <c r="C29" s="2" t="s">
        <v>86</v>
      </c>
      <c r="D29" s="2" t="s">
        <v>86</v>
      </c>
      <c r="E29" s="2" t="s">
        <v>86</v>
      </c>
      <c r="F29" s="2" t="s">
        <v>86</v>
      </c>
      <c r="G29" s="2" t="s">
        <v>86</v>
      </c>
      <c r="H29" s="2" t="s">
        <v>86</v>
      </c>
    </row>
    <row r="30" spans="1:8" ht="15.6" x14ac:dyDescent="0.3">
      <c r="A30" t="s">
        <v>86</v>
      </c>
      <c r="B30" s="21" t="s">
        <v>86</v>
      </c>
      <c r="C30" s="2" t="s">
        <v>86</v>
      </c>
      <c r="D30" s="2" t="s">
        <v>86</v>
      </c>
      <c r="E30" s="2" t="s">
        <v>86</v>
      </c>
      <c r="F30" s="2" t="s">
        <v>86</v>
      </c>
      <c r="G30" s="2" t="s">
        <v>86</v>
      </c>
      <c r="H30" s="2" t="s">
        <v>86</v>
      </c>
    </row>
    <row r="31" spans="1:8" ht="15.6" x14ac:dyDescent="0.3">
      <c r="A31" t="s">
        <v>86</v>
      </c>
      <c r="B31" t="s">
        <v>86</v>
      </c>
      <c r="C31" t="s">
        <v>86</v>
      </c>
      <c r="D31" t="s">
        <v>86</v>
      </c>
      <c r="E31" t="s">
        <v>86</v>
      </c>
      <c r="F31" t="s">
        <v>86</v>
      </c>
      <c r="G31" t="s">
        <v>86</v>
      </c>
      <c r="H31" t="s">
        <v>86</v>
      </c>
    </row>
    <row r="32" spans="1:8" ht="15.6" x14ac:dyDescent="0.3">
      <c r="A32" t="s">
        <v>86</v>
      </c>
      <c r="B32" t="s">
        <v>86</v>
      </c>
      <c r="C32" t="s">
        <v>86</v>
      </c>
      <c r="D32" t="s">
        <v>86</v>
      </c>
      <c r="E32" t="s">
        <v>86</v>
      </c>
      <c r="F32" t="s">
        <v>86</v>
      </c>
      <c r="G32" t="s">
        <v>86</v>
      </c>
      <c r="H32" t="s">
        <v>86</v>
      </c>
    </row>
    <row r="33" spans="1:8" ht="15.6" x14ac:dyDescent="0.3">
      <c r="A33" t="s">
        <v>86</v>
      </c>
      <c r="B33" t="s">
        <v>86</v>
      </c>
      <c r="C33" t="s">
        <v>86</v>
      </c>
      <c r="D33" t="s">
        <v>86</v>
      </c>
      <c r="E33" t="s">
        <v>86</v>
      </c>
      <c r="F33" t="s">
        <v>86</v>
      </c>
      <c r="G33" t="s">
        <v>86</v>
      </c>
      <c r="H33" t="s">
        <v>86</v>
      </c>
    </row>
    <row r="34" spans="1:8" ht="15.6" x14ac:dyDescent="0.3">
      <c r="A34" t="s">
        <v>86</v>
      </c>
      <c r="B34" t="s">
        <v>86</v>
      </c>
      <c r="C34" t="s">
        <v>86</v>
      </c>
      <c r="D34" t="s">
        <v>86</v>
      </c>
      <c r="E34" t="s">
        <v>86</v>
      </c>
      <c r="F34" t="s">
        <v>86</v>
      </c>
      <c r="G34" t="s">
        <v>86</v>
      </c>
      <c r="H34" t="s">
        <v>86</v>
      </c>
    </row>
    <row r="35" spans="1:8" ht="15.6" x14ac:dyDescent="0.3">
      <c r="A35" t="s">
        <v>86</v>
      </c>
      <c r="B35" t="s">
        <v>86</v>
      </c>
      <c r="C35" t="s">
        <v>86</v>
      </c>
      <c r="D35" t="s">
        <v>86</v>
      </c>
      <c r="E35" t="s">
        <v>86</v>
      </c>
      <c r="F35" t="s">
        <v>86</v>
      </c>
      <c r="G35" t="s">
        <v>86</v>
      </c>
      <c r="H35" t="s">
        <v>86</v>
      </c>
    </row>
    <row r="36" spans="1:8" ht="15.6" x14ac:dyDescent="0.3">
      <c r="A36" t="s">
        <v>86</v>
      </c>
      <c r="B36" t="s">
        <v>86</v>
      </c>
      <c r="C36" t="s">
        <v>86</v>
      </c>
      <c r="D36" t="s">
        <v>86</v>
      </c>
      <c r="E36" t="s">
        <v>86</v>
      </c>
      <c r="F36" t="s">
        <v>86</v>
      </c>
      <c r="G36" t="s">
        <v>86</v>
      </c>
      <c r="H36" t="s">
        <v>86</v>
      </c>
    </row>
    <row r="37" spans="1:8" ht="15.6" x14ac:dyDescent="0.3">
      <c r="A37" t="s">
        <v>86</v>
      </c>
      <c r="B37" t="s">
        <v>86</v>
      </c>
      <c r="C37" t="s">
        <v>86</v>
      </c>
      <c r="D37" t="s">
        <v>86</v>
      </c>
      <c r="E37" t="s">
        <v>86</v>
      </c>
      <c r="F37" t="s">
        <v>86</v>
      </c>
      <c r="G37" t="s">
        <v>86</v>
      </c>
      <c r="H37" t="s">
        <v>86</v>
      </c>
    </row>
    <row r="38" spans="1:8" ht="15.6" x14ac:dyDescent="0.3">
      <c r="A38" t="s">
        <v>86</v>
      </c>
      <c r="B38" t="s">
        <v>86</v>
      </c>
      <c r="C38" t="s">
        <v>86</v>
      </c>
      <c r="D38" t="s">
        <v>86</v>
      </c>
      <c r="E38" t="s">
        <v>86</v>
      </c>
      <c r="F38" t="s">
        <v>86</v>
      </c>
      <c r="G38" t="s">
        <v>86</v>
      </c>
      <c r="H38" t="s">
        <v>86</v>
      </c>
    </row>
    <row r="39" spans="1:8" ht="15.6" x14ac:dyDescent="0.3">
      <c r="A39" t="s">
        <v>86</v>
      </c>
      <c r="B39" t="s">
        <v>86</v>
      </c>
      <c r="C39" t="s">
        <v>86</v>
      </c>
      <c r="D39" t="s">
        <v>86</v>
      </c>
      <c r="E39" t="s">
        <v>86</v>
      </c>
      <c r="F39" t="s">
        <v>86</v>
      </c>
      <c r="G39" t="s">
        <v>86</v>
      </c>
      <c r="H39" t="s">
        <v>86</v>
      </c>
    </row>
    <row r="40" spans="1:8" ht="15.6" x14ac:dyDescent="0.3">
      <c r="A40" t="s">
        <v>86</v>
      </c>
      <c r="B40" t="s">
        <v>86</v>
      </c>
      <c r="C40" t="s">
        <v>86</v>
      </c>
      <c r="D40" t="s">
        <v>86</v>
      </c>
      <c r="E40" t="s">
        <v>86</v>
      </c>
      <c r="F40" t="s">
        <v>86</v>
      </c>
      <c r="G40" t="s">
        <v>86</v>
      </c>
      <c r="H40" t="s">
        <v>86</v>
      </c>
    </row>
    <row r="41" spans="1:8" ht="15.6" x14ac:dyDescent="0.3">
      <c r="A41" t="s">
        <v>86</v>
      </c>
      <c r="B41" t="s">
        <v>86</v>
      </c>
      <c r="C41" t="s">
        <v>86</v>
      </c>
      <c r="D41" t="s">
        <v>86</v>
      </c>
      <c r="E41" t="s">
        <v>86</v>
      </c>
      <c r="F41" t="s">
        <v>86</v>
      </c>
      <c r="G41" t="s">
        <v>86</v>
      </c>
      <c r="H41" t="s">
        <v>86</v>
      </c>
    </row>
    <row r="42" spans="1:8" ht="15.6" x14ac:dyDescent="0.3">
      <c r="A42" t="s">
        <v>86</v>
      </c>
      <c r="B42" t="s">
        <v>86</v>
      </c>
      <c r="C42" t="s">
        <v>86</v>
      </c>
      <c r="D42" t="s">
        <v>86</v>
      </c>
      <c r="E42" t="s">
        <v>86</v>
      </c>
      <c r="F42" t="s">
        <v>86</v>
      </c>
      <c r="G42" t="s">
        <v>86</v>
      </c>
      <c r="H42" t="s">
        <v>86</v>
      </c>
    </row>
    <row r="43" spans="1:8" ht="15.6" x14ac:dyDescent="0.3">
      <c r="A43" t="s">
        <v>86</v>
      </c>
      <c r="B43" t="s">
        <v>86</v>
      </c>
      <c r="C43" t="s">
        <v>86</v>
      </c>
      <c r="D43" t="s">
        <v>86</v>
      </c>
      <c r="E43" t="s">
        <v>86</v>
      </c>
      <c r="F43" t="s">
        <v>86</v>
      </c>
      <c r="G43" t="s">
        <v>86</v>
      </c>
      <c r="H43" t="s">
        <v>86</v>
      </c>
    </row>
    <row r="44" spans="1:8" ht="15.6" x14ac:dyDescent="0.3">
      <c r="A44" t="s">
        <v>86</v>
      </c>
      <c r="B44" t="s">
        <v>86</v>
      </c>
      <c r="C44" t="s">
        <v>86</v>
      </c>
      <c r="D44" t="s">
        <v>86</v>
      </c>
      <c r="E44" t="s">
        <v>86</v>
      </c>
      <c r="F44" t="s">
        <v>86</v>
      </c>
      <c r="G44" t="s">
        <v>86</v>
      </c>
      <c r="H44" t="s">
        <v>86</v>
      </c>
    </row>
    <row r="45" spans="1:8" ht="15.6" x14ac:dyDescent="0.3">
      <c r="A45" t="s">
        <v>86</v>
      </c>
      <c r="B45" t="s">
        <v>86</v>
      </c>
      <c r="C45" t="s">
        <v>86</v>
      </c>
      <c r="D45" t="s">
        <v>86</v>
      </c>
      <c r="E45" t="s">
        <v>86</v>
      </c>
      <c r="F45" t="s">
        <v>86</v>
      </c>
      <c r="G45" t="s">
        <v>86</v>
      </c>
      <c r="H45" t="s">
        <v>86</v>
      </c>
    </row>
    <row r="46" spans="1:8" ht="15.6" x14ac:dyDescent="0.3">
      <c r="A46" t="s">
        <v>86</v>
      </c>
      <c r="B46" t="s">
        <v>86</v>
      </c>
      <c r="C46" t="s">
        <v>86</v>
      </c>
      <c r="D46" t="s">
        <v>86</v>
      </c>
      <c r="E46" t="s">
        <v>86</v>
      </c>
      <c r="F46" t="s">
        <v>86</v>
      </c>
      <c r="G46" t="s">
        <v>86</v>
      </c>
      <c r="H46" t="s">
        <v>86</v>
      </c>
    </row>
    <row r="47" spans="1:8" ht="15.6" x14ac:dyDescent="0.3">
      <c r="A47" t="s">
        <v>86</v>
      </c>
      <c r="B47" t="s">
        <v>86</v>
      </c>
      <c r="C47" t="s">
        <v>86</v>
      </c>
      <c r="D47" t="s">
        <v>86</v>
      </c>
      <c r="E47" t="s">
        <v>86</v>
      </c>
      <c r="F47" t="s">
        <v>86</v>
      </c>
      <c r="G47" t="s">
        <v>86</v>
      </c>
      <c r="H47" t="s">
        <v>86</v>
      </c>
    </row>
    <row r="48" spans="1:8" ht="15.6" x14ac:dyDescent="0.3">
      <c r="A48" t="s">
        <v>86</v>
      </c>
      <c r="B48" t="s">
        <v>86</v>
      </c>
      <c r="C48" t="s">
        <v>86</v>
      </c>
      <c r="D48" t="s">
        <v>86</v>
      </c>
      <c r="E48" t="s">
        <v>86</v>
      </c>
      <c r="F48" t="s">
        <v>86</v>
      </c>
      <c r="G48" t="s">
        <v>86</v>
      </c>
      <c r="H48" t="s">
        <v>86</v>
      </c>
    </row>
    <row r="49" spans="1:8" ht="15.6" x14ac:dyDescent="0.3">
      <c r="A49" t="s">
        <v>86</v>
      </c>
      <c r="B49" t="s">
        <v>86</v>
      </c>
      <c r="C49" t="s">
        <v>86</v>
      </c>
      <c r="D49" t="s">
        <v>86</v>
      </c>
      <c r="E49" t="s">
        <v>86</v>
      </c>
      <c r="F49" t="s">
        <v>86</v>
      </c>
      <c r="G49" t="s">
        <v>86</v>
      </c>
      <c r="H49" t="s">
        <v>86</v>
      </c>
    </row>
    <row r="50" spans="1:8" ht="15.6" x14ac:dyDescent="0.3">
      <c r="A50" t="s">
        <v>86</v>
      </c>
      <c r="B50" t="s">
        <v>86</v>
      </c>
      <c r="C50" t="s">
        <v>86</v>
      </c>
      <c r="D50" t="s">
        <v>86</v>
      </c>
      <c r="E50" t="s">
        <v>86</v>
      </c>
      <c r="F50" t="s">
        <v>86</v>
      </c>
      <c r="G50" t="s">
        <v>86</v>
      </c>
      <c r="H50" t="s">
        <v>86</v>
      </c>
    </row>
    <row r="51" spans="1:8" ht="15.6" x14ac:dyDescent="0.3">
      <c r="A51" t="s">
        <v>86</v>
      </c>
      <c r="B51" t="s">
        <v>86</v>
      </c>
      <c r="C51" t="s">
        <v>86</v>
      </c>
      <c r="D51" t="s">
        <v>86</v>
      </c>
      <c r="E51" t="s">
        <v>86</v>
      </c>
      <c r="F51" t="s">
        <v>86</v>
      </c>
      <c r="G51" t="s">
        <v>86</v>
      </c>
      <c r="H51" t="s">
        <v>86</v>
      </c>
    </row>
    <row r="52" spans="1:8" ht="15.6" x14ac:dyDescent="0.3">
      <c r="A52" t="s">
        <v>86</v>
      </c>
      <c r="B52" t="s">
        <v>86</v>
      </c>
      <c r="C52" t="s">
        <v>86</v>
      </c>
      <c r="D52" t="s">
        <v>86</v>
      </c>
      <c r="E52" t="s">
        <v>86</v>
      </c>
      <c r="F52" t="s">
        <v>86</v>
      </c>
      <c r="G52" t="s">
        <v>86</v>
      </c>
      <c r="H52" t="s">
        <v>86</v>
      </c>
    </row>
  </sheetData>
  <pageMargins left="0.7" right="0.7" top="0.75" bottom="0.75" header="0.3" footer="0.3"/>
  <ignoredErrors>
    <ignoredError sqref="A1:H5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2"/>
  <sheetViews>
    <sheetView topLeftCell="A9" workbookViewId="0">
      <selection activeCell="A12" sqref="A12:H12"/>
    </sheetView>
  </sheetViews>
  <sheetFormatPr defaultRowHeight="14.4" x14ac:dyDescent="0.3"/>
  <cols>
    <col min="1" max="1" width="32.796875" customWidth="1"/>
    <col min="2" max="3" width="12.796875" customWidth="1"/>
    <col min="4" max="4" width="30.796875" customWidth="1"/>
    <col min="5" max="5" width="42.796875" customWidth="1"/>
    <col min="6" max="6" width="14.796875" customWidth="1"/>
    <col min="7" max="7" width="32.796875" customWidth="1"/>
    <col min="8" max="8" width="24.796875" customWidth="1"/>
  </cols>
  <sheetData>
    <row r="1" spans="1:8" ht="15.6" x14ac:dyDescent="0.3">
      <c r="A1" t="s">
        <v>109</v>
      </c>
    </row>
    <row r="2" spans="1:8" ht="15.6" x14ac:dyDescent="0.3">
      <c r="A2" t="s">
        <v>86</v>
      </c>
    </row>
    <row r="4" spans="1:8" ht="15.6" x14ac:dyDescent="0.3">
      <c r="A4" t="s">
        <v>85</v>
      </c>
    </row>
    <row r="5" spans="1:8" ht="15.6" x14ac:dyDescent="0.3">
      <c r="A5" t="s">
        <v>86</v>
      </c>
      <c r="B5" t="s">
        <v>110</v>
      </c>
    </row>
    <row r="6" spans="1:8" ht="15.6" x14ac:dyDescent="0.3">
      <c r="A6" t="s">
        <v>86</v>
      </c>
      <c r="B6" t="s">
        <v>111</v>
      </c>
    </row>
    <row r="7" spans="1:8" ht="15.6" x14ac:dyDescent="0.3">
      <c r="A7" t="s">
        <v>86</v>
      </c>
      <c r="B7" t="s">
        <v>112</v>
      </c>
    </row>
    <row r="9" spans="1:8" ht="15.6" x14ac:dyDescent="0.3">
      <c r="A9" t="s">
        <v>113</v>
      </c>
    </row>
    <row r="11" spans="1:8" ht="16.2" thickBot="1" x14ac:dyDescent="0.35">
      <c r="A11" t="s">
        <v>92</v>
      </c>
    </row>
    <row r="12" spans="1:8" ht="16.2" thickBot="1" x14ac:dyDescent="0.35">
      <c r="A12" s="20" t="s">
        <v>3</v>
      </c>
      <c r="B12" s="7" t="s">
        <v>2</v>
      </c>
      <c r="C12" s="7" t="s">
        <v>93</v>
      </c>
      <c r="D12" s="7" t="s">
        <v>94</v>
      </c>
      <c r="E12" s="7" t="s">
        <v>95</v>
      </c>
      <c r="F12" s="7" t="s">
        <v>96</v>
      </c>
      <c r="G12" s="7" t="s">
        <v>97</v>
      </c>
      <c r="H12" s="8" t="s">
        <v>98</v>
      </c>
    </row>
    <row r="13" spans="1:8" ht="15.6" x14ac:dyDescent="0.3">
      <c r="A13" s="4" t="s">
        <v>86</v>
      </c>
      <c r="B13" s="3" t="s">
        <v>86</v>
      </c>
      <c r="C13" s="4" t="s">
        <v>86</v>
      </c>
      <c r="D13" s="4" t="s">
        <v>86</v>
      </c>
      <c r="E13" s="4" t="s">
        <v>86</v>
      </c>
      <c r="F13" s="4" t="s">
        <v>86</v>
      </c>
      <c r="G13" s="4" t="s">
        <v>86</v>
      </c>
      <c r="H13" s="4" t="s">
        <v>86</v>
      </c>
    </row>
    <row r="14" spans="1:8" ht="15.6" x14ac:dyDescent="0.3">
      <c r="A14" t="s">
        <v>86</v>
      </c>
      <c r="B14" t="s">
        <v>86</v>
      </c>
      <c r="C14" s="2" t="s">
        <v>86</v>
      </c>
      <c r="D14" s="2" t="s">
        <v>86</v>
      </c>
      <c r="E14" s="2" t="s">
        <v>86</v>
      </c>
      <c r="F14" s="2" t="s">
        <v>86</v>
      </c>
      <c r="G14" s="2" t="s">
        <v>86</v>
      </c>
      <c r="H14" s="2" t="s">
        <v>86</v>
      </c>
    </row>
    <row r="15" spans="1:8" ht="15.6" x14ac:dyDescent="0.3">
      <c r="A15" t="s">
        <v>86</v>
      </c>
      <c r="B15" t="s">
        <v>86</v>
      </c>
      <c r="C15" s="2" t="s">
        <v>86</v>
      </c>
      <c r="D15" s="2" t="s">
        <v>86</v>
      </c>
      <c r="E15" s="2" t="s">
        <v>86</v>
      </c>
      <c r="F15" s="2" t="s">
        <v>86</v>
      </c>
      <c r="G15" s="2" t="s">
        <v>86</v>
      </c>
      <c r="H15" s="2" t="s">
        <v>86</v>
      </c>
    </row>
    <row r="16" spans="1:8" ht="15.6" x14ac:dyDescent="0.3">
      <c r="A16" t="s">
        <v>86</v>
      </c>
      <c r="B16" t="s">
        <v>86</v>
      </c>
      <c r="C16" s="2" t="s">
        <v>86</v>
      </c>
      <c r="D16" s="2" t="s">
        <v>86</v>
      </c>
      <c r="E16" s="2" t="s">
        <v>86</v>
      </c>
      <c r="F16" s="2" t="s">
        <v>86</v>
      </c>
      <c r="G16" s="2" t="s">
        <v>86</v>
      </c>
      <c r="H16" s="2" t="s">
        <v>86</v>
      </c>
    </row>
    <row r="17" spans="1:8" ht="15.6" x14ac:dyDescent="0.3">
      <c r="A17" t="s">
        <v>86</v>
      </c>
      <c r="B17" t="s">
        <v>86</v>
      </c>
      <c r="C17" s="2" t="s">
        <v>86</v>
      </c>
      <c r="D17" s="2" t="s">
        <v>86</v>
      </c>
      <c r="E17" s="2" t="s">
        <v>86</v>
      </c>
      <c r="F17" s="2" t="s">
        <v>86</v>
      </c>
      <c r="G17" s="2" t="s">
        <v>86</v>
      </c>
      <c r="H17" s="2" t="s">
        <v>86</v>
      </c>
    </row>
    <row r="18" spans="1:8" ht="15.6" x14ac:dyDescent="0.3">
      <c r="A18" t="s">
        <v>86</v>
      </c>
      <c r="B18" t="s">
        <v>86</v>
      </c>
      <c r="C18" s="2" t="s">
        <v>86</v>
      </c>
      <c r="D18" s="2" t="s">
        <v>86</v>
      </c>
      <c r="E18" s="2" t="s">
        <v>86</v>
      </c>
      <c r="F18" s="2" t="s">
        <v>86</v>
      </c>
      <c r="G18" s="2" t="s">
        <v>86</v>
      </c>
      <c r="H18" s="2" t="s">
        <v>86</v>
      </c>
    </row>
    <row r="19" spans="1:8" ht="15.6" x14ac:dyDescent="0.3">
      <c r="A19" t="s">
        <v>86</v>
      </c>
      <c r="B19" t="s">
        <v>86</v>
      </c>
      <c r="C19" s="2" t="s">
        <v>86</v>
      </c>
      <c r="D19" s="2" t="s">
        <v>86</v>
      </c>
      <c r="E19" s="2" t="s">
        <v>86</v>
      </c>
      <c r="F19" s="2" t="s">
        <v>86</v>
      </c>
      <c r="G19" s="2" t="s">
        <v>86</v>
      </c>
      <c r="H19" s="2" t="s">
        <v>86</v>
      </c>
    </row>
    <row r="20" spans="1:8" ht="15.6" x14ac:dyDescent="0.3">
      <c r="A20" t="s">
        <v>86</v>
      </c>
      <c r="B20" t="s">
        <v>86</v>
      </c>
      <c r="C20" s="2" t="s">
        <v>86</v>
      </c>
      <c r="D20" s="2" t="s">
        <v>86</v>
      </c>
      <c r="E20" s="2" t="s">
        <v>86</v>
      </c>
      <c r="F20" s="2" t="s">
        <v>86</v>
      </c>
      <c r="G20" s="2" t="s">
        <v>86</v>
      </c>
      <c r="H20" s="2" t="s">
        <v>86</v>
      </c>
    </row>
    <row r="21" spans="1:8" ht="15.6" x14ac:dyDescent="0.3">
      <c r="A21" t="s">
        <v>86</v>
      </c>
      <c r="B21" t="s">
        <v>86</v>
      </c>
      <c r="C21" s="2" t="s">
        <v>86</v>
      </c>
      <c r="D21" s="2" t="s">
        <v>86</v>
      </c>
      <c r="E21" s="2" t="s">
        <v>86</v>
      </c>
      <c r="F21" s="2" t="s">
        <v>86</v>
      </c>
      <c r="G21" s="2" t="s">
        <v>86</v>
      </c>
      <c r="H21" s="2" t="s">
        <v>86</v>
      </c>
    </row>
    <row r="22" spans="1:8" ht="15.6" x14ac:dyDescent="0.3">
      <c r="A22" t="s">
        <v>86</v>
      </c>
      <c r="B22" t="s">
        <v>86</v>
      </c>
      <c r="C22" s="2" t="s">
        <v>86</v>
      </c>
      <c r="D22" s="2" t="s">
        <v>86</v>
      </c>
      <c r="E22" s="2" t="s">
        <v>86</v>
      </c>
      <c r="F22" s="2" t="s">
        <v>86</v>
      </c>
      <c r="G22" s="2" t="s">
        <v>86</v>
      </c>
      <c r="H22" s="2" t="s">
        <v>86</v>
      </c>
    </row>
    <row r="23" spans="1:8" ht="15.6" x14ac:dyDescent="0.3">
      <c r="A23" t="s">
        <v>86</v>
      </c>
      <c r="B23" t="s">
        <v>86</v>
      </c>
      <c r="C23" s="2" t="s">
        <v>86</v>
      </c>
      <c r="D23" s="2" t="s">
        <v>86</v>
      </c>
      <c r="E23" s="2" t="s">
        <v>86</v>
      </c>
      <c r="F23" s="2" t="s">
        <v>86</v>
      </c>
      <c r="G23" s="2" t="s">
        <v>86</v>
      </c>
      <c r="H23" s="2" t="s">
        <v>86</v>
      </c>
    </row>
    <row r="24" spans="1:8" ht="15.6" x14ac:dyDescent="0.3">
      <c r="A24" t="s">
        <v>86</v>
      </c>
      <c r="B24" t="s">
        <v>86</v>
      </c>
      <c r="C24" s="2" t="s">
        <v>86</v>
      </c>
      <c r="D24" s="2" t="s">
        <v>86</v>
      </c>
      <c r="E24" s="2" t="s">
        <v>86</v>
      </c>
      <c r="F24" s="2" t="s">
        <v>86</v>
      </c>
      <c r="G24" s="2" t="s">
        <v>86</v>
      </c>
      <c r="H24" s="2" t="s">
        <v>86</v>
      </c>
    </row>
    <row r="25" spans="1:8" ht="15.6" x14ac:dyDescent="0.3">
      <c r="A25" t="s">
        <v>86</v>
      </c>
      <c r="B25" t="s">
        <v>86</v>
      </c>
      <c r="C25" s="2" t="s">
        <v>86</v>
      </c>
      <c r="D25" s="2" t="s">
        <v>86</v>
      </c>
      <c r="E25" s="2" t="s">
        <v>86</v>
      </c>
      <c r="F25" s="2" t="s">
        <v>86</v>
      </c>
      <c r="G25" s="2" t="s">
        <v>86</v>
      </c>
      <c r="H25" s="2" t="s">
        <v>86</v>
      </c>
    </row>
    <row r="26" spans="1:8" ht="15.6" x14ac:dyDescent="0.3">
      <c r="A26" t="s">
        <v>86</v>
      </c>
      <c r="B26" t="s">
        <v>86</v>
      </c>
      <c r="C26" s="2" t="s">
        <v>86</v>
      </c>
      <c r="D26" s="2" t="s">
        <v>86</v>
      </c>
      <c r="E26" s="2" t="s">
        <v>86</v>
      </c>
      <c r="F26" s="2" t="s">
        <v>86</v>
      </c>
      <c r="G26" s="2" t="s">
        <v>86</v>
      </c>
      <c r="H26" s="2" t="s">
        <v>86</v>
      </c>
    </row>
    <row r="27" spans="1:8" ht="15.6" x14ac:dyDescent="0.3">
      <c r="A27" t="s">
        <v>86</v>
      </c>
      <c r="B27" t="s">
        <v>86</v>
      </c>
      <c r="C27" s="2" t="s">
        <v>86</v>
      </c>
      <c r="D27" s="2" t="s">
        <v>86</v>
      </c>
      <c r="E27" s="2" t="s">
        <v>86</v>
      </c>
      <c r="F27" s="2" t="s">
        <v>86</v>
      </c>
      <c r="G27" s="2" t="s">
        <v>86</v>
      </c>
      <c r="H27" s="2" t="s">
        <v>86</v>
      </c>
    </row>
    <row r="28" spans="1:8" ht="15.6" x14ac:dyDescent="0.3">
      <c r="A28" t="s">
        <v>86</v>
      </c>
      <c r="B28" t="s">
        <v>86</v>
      </c>
      <c r="C28" s="2" t="s">
        <v>86</v>
      </c>
      <c r="D28" s="2" t="s">
        <v>86</v>
      </c>
      <c r="E28" s="2" t="s">
        <v>86</v>
      </c>
      <c r="F28" s="2" t="s">
        <v>86</v>
      </c>
      <c r="G28" s="2" t="s">
        <v>86</v>
      </c>
      <c r="H28" s="2" t="s">
        <v>86</v>
      </c>
    </row>
    <row r="29" spans="1:8" ht="15.6" x14ac:dyDescent="0.3">
      <c r="A29" t="s">
        <v>86</v>
      </c>
      <c r="B29" t="s">
        <v>86</v>
      </c>
      <c r="C29" s="2" t="s">
        <v>86</v>
      </c>
      <c r="D29" s="2" t="s">
        <v>86</v>
      </c>
      <c r="E29" s="2" t="s">
        <v>86</v>
      </c>
      <c r="F29" s="2" t="s">
        <v>86</v>
      </c>
      <c r="G29" s="2" t="s">
        <v>86</v>
      </c>
      <c r="H29" s="2" t="s">
        <v>86</v>
      </c>
    </row>
    <row r="30" spans="1:8" ht="15.6" x14ac:dyDescent="0.3">
      <c r="A30" t="s">
        <v>86</v>
      </c>
      <c r="B30" t="s">
        <v>86</v>
      </c>
      <c r="C30" s="2" t="s">
        <v>86</v>
      </c>
      <c r="D30" s="2" t="s">
        <v>86</v>
      </c>
      <c r="E30" s="2" t="s">
        <v>86</v>
      </c>
      <c r="F30" s="2" t="s">
        <v>86</v>
      </c>
      <c r="G30" s="2" t="s">
        <v>86</v>
      </c>
      <c r="H30" s="2" t="s">
        <v>86</v>
      </c>
    </row>
    <row r="31" spans="1:8" ht="15.6" x14ac:dyDescent="0.3">
      <c r="A31" t="s">
        <v>86</v>
      </c>
      <c r="B31" t="s">
        <v>86</v>
      </c>
      <c r="C31" t="s">
        <v>86</v>
      </c>
      <c r="D31" t="s">
        <v>86</v>
      </c>
      <c r="E31" t="s">
        <v>86</v>
      </c>
      <c r="F31" t="s">
        <v>86</v>
      </c>
      <c r="G31" t="s">
        <v>86</v>
      </c>
      <c r="H31" t="s">
        <v>86</v>
      </c>
    </row>
    <row r="32" spans="1:8" ht="15.6" x14ac:dyDescent="0.3">
      <c r="A32" t="s">
        <v>86</v>
      </c>
      <c r="B32" t="s">
        <v>86</v>
      </c>
      <c r="C32" t="s">
        <v>86</v>
      </c>
      <c r="D32" t="s">
        <v>86</v>
      </c>
      <c r="E32" t="s">
        <v>86</v>
      </c>
      <c r="F32" t="s">
        <v>86</v>
      </c>
      <c r="G32" t="s">
        <v>86</v>
      </c>
      <c r="H32" t="s">
        <v>86</v>
      </c>
    </row>
    <row r="33" spans="1:8" ht="15.6" x14ac:dyDescent="0.3">
      <c r="A33" t="s">
        <v>86</v>
      </c>
      <c r="B33" t="s">
        <v>86</v>
      </c>
      <c r="C33" t="s">
        <v>86</v>
      </c>
      <c r="D33" t="s">
        <v>86</v>
      </c>
      <c r="E33" t="s">
        <v>86</v>
      </c>
      <c r="F33" t="s">
        <v>86</v>
      </c>
      <c r="G33" t="s">
        <v>86</v>
      </c>
      <c r="H33" t="s">
        <v>86</v>
      </c>
    </row>
    <row r="34" spans="1:8" ht="15.6" x14ac:dyDescent="0.3">
      <c r="A34" t="s">
        <v>86</v>
      </c>
      <c r="B34" t="s">
        <v>86</v>
      </c>
      <c r="C34" t="s">
        <v>86</v>
      </c>
      <c r="D34" t="s">
        <v>86</v>
      </c>
      <c r="E34" t="s">
        <v>86</v>
      </c>
      <c r="F34" t="s">
        <v>86</v>
      </c>
      <c r="G34" t="s">
        <v>86</v>
      </c>
      <c r="H34" t="s">
        <v>86</v>
      </c>
    </row>
    <row r="35" spans="1:8" ht="15.6" x14ac:dyDescent="0.3">
      <c r="A35" t="s">
        <v>86</v>
      </c>
      <c r="B35" t="s">
        <v>86</v>
      </c>
      <c r="C35" t="s">
        <v>86</v>
      </c>
      <c r="D35" t="s">
        <v>86</v>
      </c>
      <c r="E35" t="s">
        <v>86</v>
      </c>
      <c r="F35" t="s">
        <v>86</v>
      </c>
      <c r="G35" t="s">
        <v>86</v>
      </c>
      <c r="H35" t="s">
        <v>86</v>
      </c>
    </row>
    <row r="36" spans="1:8" ht="15.6" x14ac:dyDescent="0.3">
      <c r="A36" t="s">
        <v>86</v>
      </c>
      <c r="B36" t="s">
        <v>86</v>
      </c>
      <c r="C36" t="s">
        <v>86</v>
      </c>
      <c r="D36" t="s">
        <v>86</v>
      </c>
      <c r="E36" t="s">
        <v>86</v>
      </c>
      <c r="F36" t="s">
        <v>86</v>
      </c>
      <c r="G36" t="s">
        <v>86</v>
      </c>
      <c r="H36" t="s">
        <v>86</v>
      </c>
    </row>
    <row r="37" spans="1:8" ht="15.6" x14ac:dyDescent="0.3">
      <c r="A37" t="s">
        <v>86</v>
      </c>
      <c r="B37" t="s">
        <v>86</v>
      </c>
      <c r="C37" t="s">
        <v>86</v>
      </c>
      <c r="D37" t="s">
        <v>86</v>
      </c>
      <c r="E37" t="s">
        <v>86</v>
      </c>
      <c r="F37" t="s">
        <v>86</v>
      </c>
      <c r="G37" t="s">
        <v>86</v>
      </c>
      <c r="H37" t="s">
        <v>86</v>
      </c>
    </row>
    <row r="38" spans="1:8" ht="15.6" x14ac:dyDescent="0.3">
      <c r="A38" t="s">
        <v>86</v>
      </c>
      <c r="B38" t="s">
        <v>86</v>
      </c>
      <c r="C38" t="s">
        <v>86</v>
      </c>
      <c r="D38" t="s">
        <v>86</v>
      </c>
      <c r="E38" t="s">
        <v>86</v>
      </c>
      <c r="F38" t="s">
        <v>86</v>
      </c>
      <c r="G38" t="s">
        <v>86</v>
      </c>
      <c r="H38" t="s">
        <v>86</v>
      </c>
    </row>
    <row r="39" spans="1:8" ht="15.6" x14ac:dyDescent="0.3">
      <c r="A39" t="s">
        <v>86</v>
      </c>
      <c r="B39" t="s">
        <v>86</v>
      </c>
      <c r="C39" t="s">
        <v>86</v>
      </c>
      <c r="D39" t="s">
        <v>86</v>
      </c>
      <c r="E39" t="s">
        <v>86</v>
      </c>
      <c r="F39" t="s">
        <v>86</v>
      </c>
      <c r="G39" t="s">
        <v>86</v>
      </c>
      <c r="H39" t="s">
        <v>86</v>
      </c>
    </row>
    <row r="40" spans="1:8" ht="15.6" x14ac:dyDescent="0.3">
      <c r="A40" t="s">
        <v>86</v>
      </c>
      <c r="B40" t="s">
        <v>86</v>
      </c>
      <c r="C40" t="s">
        <v>86</v>
      </c>
      <c r="D40" t="s">
        <v>86</v>
      </c>
      <c r="E40" t="s">
        <v>86</v>
      </c>
      <c r="F40" t="s">
        <v>86</v>
      </c>
      <c r="G40" t="s">
        <v>86</v>
      </c>
      <c r="H40" t="s">
        <v>86</v>
      </c>
    </row>
    <row r="41" spans="1:8" ht="15.6" x14ac:dyDescent="0.3">
      <c r="A41" t="s">
        <v>86</v>
      </c>
      <c r="B41" t="s">
        <v>86</v>
      </c>
      <c r="C41" t="s">
        <v>86</v>
      </c>
      <c r="D41" t="s">
        <v>86</v>
      </c>
      <c r="E41" t="s">
        <v>86</v>
      </c>
      <c r="F41" t="s">
        <v>86</v>
      </c>
      <c r="G41" t="s">
        <v>86</v>
      </c>
      <c r="H41" t="s">
        <v>86</v>
      </c>
    </row>
    <row r="42" spans="1:8" ht="15.6" x14ac:dyDescent="0.3">
      <c r="A42" t="s">
        <v>86</v>
      </c>
      <c r="B42" t="s">
        <v>86</v>
      </c>
      <c r="C42" t="s">
        <v>86</v>
      </c>
      <c r="D42" t="s">
        <v>86</v>
      </c>
      <c r="E42" t="s">
        <v>86</v>
      </c>
      <c r="F42" t="s">
        <v>86</v>
      </c>
      <c r="G42" t="s">
        <v>86</v>
      </c>
      <c r="H42" t="s">
        <v>86</v>
      </c>
    </row>
    <row r="43" spans="1:8" ht="15.6" x14ac:dyDescent="0.3">
      <c r="A43" t="s">
        <v>86</v>
      </c>
      <c r="B43" t="s">
        <v>86</v>
      </c>
      <c r="C43" t="s">
        <v>86</v>
      </c>
      <c r="D43" t="s">
        <v>86</v>
      </c>
      <c r="E43" t="s">
        <v>86</v>
      </c>
      <c r="F43" t="s">
        <v>86</v>
      </c>
      <c r="G43" t="s">
        <v>86</v>
      </c>
      <c r="H43" t="s">
        <v>86</v>
      </c>
    </row>
    <row r="44" spans="1:8" ht="15.6" x14ac:dyDescent="0.3">
      <c r="A44" t="s">
        <v>86</v>
      </c>
      <c r="B44" t="s">
        <v>86</v>
      </c>
      <c r="C44" t="s">
        <v>86</v>
      </c>
      <c r="D44" t="s">
        <v>86</v>
      </c>
      <c r="E44" t="s">
        <v>86</v>
      </c>
      <c r="F44" t="s">
        <v>86</v>
      </c>
      <c r="G44" t="s">
        <v>86</v>
      </c>
      <c r="H44" t="s">
        <v>86</v>
      </c>
    </row>
    <row r="45" spans="1:8" ht="15.6" x14ac:dyDescent="0.3">
      <c r="A45" t="s">
        <v>86</v>
      </c>
      <c r="B45" t="s">
        <v>86</v>
      </c>
      <c r="C45" t="s">
        <v>86</v>
      </c>
      <c r="D45" t="s">
        <v>86</v>
      </c>
      <c r="E45" t="s">
        <v>86</v>
      </c>
      <c r="F45" t="s">
        <v>86</v>
      </c>
      <c r="G45" t="s">
        <v>86</v>
      </c>
      <c r="H45" t="s">
        <v>86</v>
      </c>
    </row>
    <row r="46" spans="1:8" ht="15.6" x14ac:dyDescent="0.3">
      <c r="A46" t="s">
        <v>86</v>
      </c>
      <c r="B46" t="s">
        <v>86</v>
      </c>
      <c r="C46" t="s">
        <v>86</v>
      </c>
      <c r="D46" t="s">
        <v>86</v>
      </c>
      <c r="E46" t="s">
        <v>86</v>
      </c>
      <c r="F46" t="s">
        <v>86</v>
      </c>
      <c r="G46" t="s">
        <v>86</v>
      </c>
      <c r="H46" t="s">
        <v>86</v>
      </c>
    </row>
    <row r="47" spans="1:8" ht="15.6" x14ac:dyDescent="0.3">
      <c r="A47" t="s">
        <v>86</v>
      </c>
      <c r="B47" t="s">
        <v>86</v>
      </c>
      <c r="C47" t="s">
        <v>86</v>
      </c>
      <c r="D47" t="s">
        <v>86</v>
      </c>
      <c r="E47" t="s">
        <v>86</v>
      </c>
      <c r="F47" t="s">
        <v>86</v>
      </c>
      <c r="G47" t="s">
        <v>86</v>
      </c>
      <c r="H47" t="s">
        <v>86</v>
      </c>
    </row>
    <row r="48" spans="1:8" ht="15.6" x14ac:dyDescent="0.3">
      <c r="A48" t="s">
        <v>86</v>
      </c>
      <c r="B48" t="s">
        <v>86</v>
      </c>
      <c r="C48" t="s">
        <v>86</v>
      </c>
      <c r="D48" t="s">
        <v>86</v>
      </c>
      <c r="E48" t="s">
        <v>86</v>
      </c>
      <c r="F48" t="s">
        <v>86</v>
      </c>
      <c r="G48" t="s">
        <v>86</v>
      </c>
      <c r="H48" t="s">
        <v>86</v>
      </c>
    </row>
    <row r="49" spans="1:8" ht="15.6" x14ac:dyDescent="0.3">
      <c r="A49" t="s">
        <v>86</v>
      </c>
      <c r="B49" t="s">
        <v>86</v>
      </c>
      <c r="C49" t="s">
        <v>86</v>
      </c>
      <c r="D49" t="s">
        <v>86</v>
      </c>
      <c r="E49" t="s">
        <v>86</v>
      </c>
      <c r="F49" t="s">
        <v>86</v>
      </c>
      <c r="G49" t="s">
        <v>86</v>
      </c>
      <c r="H49" t="s">
        <v>86</v>
      </c>
    </row>
    <row r="50" spans="1:8" ht="15.6" x14ac:dyDescent="0.3">
      <c r="A50" t="s">
        <v>86</v>
      </c>
      <c r="B50" t="s">
        <v>86</v>
      </c>
      <c r="C50" t="s">
        <v>86</v>
      </c>
      <c r="D50" t="s">
        <v>86</v>
      </c>
      <c r="E50" t="s">
        <v>86</v>
      </c>
      <c r="F50" t="s">
        <v>86</v>
      </c>
      <c r="G50" t="s">
        <v>86</v>
      </c>
      <c r="H50" t="s">
        <v>86</v>
      </c>
    </row>
    <row r="51" spans="1:8" ht="15.6" x14ac:dyDescent="0.3">
      <c r="A51" t="s">
        <v>86</v>
      </c>
      <c r="B51" t="s">
        <v>86</v>
      </c>
      <c r="C51" t="s">
        <v>86</v>
      </c>
      <c r="D51" t="s">
        <v>86</v>
      </c>
      <c r="E51" t="s">
        <v>86</v>
      </c>
      <c r="F51" t="s">
        <v>86</v>
      </c>
      <c r="G51" t="s">
        <v>86</v>
      </c>
      <c r="H51" t="s">
        <v>86</v>
      </c>
    </row>
    <row r="52" spans="1:8" ht="15.6" x14ac:dyDescent="0.3">
      <c r="A52" t="s">
        <v>86</v>
      </c>
      <c r="B52" t="s">
        <v>86</v>
      </c>
      <c r="C52" t="s">
        <v>86</v>
      </c>
      <c r="D52" t="s">
        <v>86</v>
      </c>
      <c r="E52" t="s">
        <v>86</v>
      </c>
      <c r="F52" t="s">
        <v>86</v>
      </c>
      <c r="G52" t="s">
        <v>86</v>
      </c>
      <c r="H52" t="s">
        <v>86</v>
      </c>
    </row>
  </sheetData>
  <pageMargins left="0.7" right="0.7" top="0.75" bottom="0.75" header="0.3" footer="0.3"/>
  <ignoredErrors>
    <ignoredError sqref="A1:H5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2"/>
  <sheetViews>
    <sheetView workbookViewId="0">
      <selection activeCell="A19" sqref="A19"/>
    </sheetView>
  </sheetViews>
  <sheetFormatPr defaultRowHeight="14.4" x14ac:dyDescent="0.3"/>
  <cols>
    <col min="1" max="1" width="32.796875" customWidth="1"/>
    <col min="2" max="3" width="12.796875" customWidth="1"/>
    <col min="4" max="4" width="30.796875" customWidth="1"/>
    <col min="5" max="5" width="42.796875" customWidth="1"/>
    <col min="6" max="6" width="14.796875" customWidth="1"/>
    <col min="7" max="7" width="32.796875" customWidth="1"/>
    <col min="8" max="8" width="24.796875" customWidth="1"/>
  </cols>
  <sheetData>
    <row r="1" spans="1:8" ht="15.6" x14ac:dyDescent="0.3">
      <c r="A1" t="s">
        <v>114</v>
      </c>
    </row>
    <row r="2" spans="1:8" ht="15.6" x14ac:dyDescent="0.3">
      <c r="A2" t="s">
        <v>86</v>
      </c>
    </row>
    <row r="4" spans="1:8" ht="15.6" x14ac:dyDescent="0.3">
      <c r="A4" t="s">
        <v>85</v>
      </c>
    </row>
    <row r="5" spans="1:8" ht="15.6" x14ac:dyDescent="0.3">
      <c r="A5" t="s">
        <v>86</v>
      </c>
      <c r="B5" t="s">
        <v>115</v>
      </c>
    </row>
    <row r="6" spans="1:8" ht="15.6" x14ac:dyDescent="0.3">
      <c r="A6" t="s">
        <v>86</v>
      </c>
      <c r="B6" t="s">
        <v>116</v>
      </c>
    </row>
    <row r="7" spans="1:8" ht="15.6" x14ac:dyDescent="0.3">
      <c r="A7" t="s">
        <v>86</v>
      </c>
      <c r="B7" t="s">
        <v>117</v>
      </c>
    </row>
    <row r="9" spans="1:8" ht="15.6" x14ac:dyDescent="0.3">
      <c r="A9" t="s">
        <v>118</v>
      </c>
    </row>
    <row r="11" spans="1:8" ht="16.2" thickBot="1" x14ac:dyDescent="0.35">
      <c r="A11" t="s">
        <v>92</v>
      </c>
    </row>
    <row r="12" spans="1:8" ht="16.2" thickBot="1" x14ac:dyDescent="0.35">
      <c r="A12" s="22" t="s">
        <v>3</v>
      </c>
      <c r="B12" s="5" t="s">
        <v>2</v>
      </c>
      <c r="C12" s="5" t="s">
        <v>93</v>
      </c>
      <c r="D12" s="5" t="s">
        <v>94</v>
      </c>
      <c r="E12" s="5" t="s">
        <v>95</v>
      </c>
      <c r="F12" s="5" t="s">
        <v>96</v>
      </c>
      <c r="G12" s="5" t="s">
        <v>97</v>
      </c>
      <c r="H12" s="6" t="s">
        <v>98</v>
      </c>
    </row>
    <row r="13" spans="1:8" ht="15.6" x14ac:dyDescent="0.3">
      <c r="A13" s="4" t="s">
        <v>86</v>
      </c>
      <c r="B13" s="3" t="s">
        <v>86</v>
      </c>
      <c r="C13" s="4" t="s">
        <v>86</v>
      </c>
      <c r="D13" s="4" t="s">
        <v>86</v>
      </c>
      <c r="E13" s="4" t="s">
        <v>86</v>
      </c>
      <c r="F13" s="4" t="s">
        <v>86</v>
      </c>
      <c r="G13" s="4" t="s">
        <v>86</v>
      </c>
      <c r="H13" s="4" t="s">
        <v>86</v>
      </c>
    </row>
    <row r="14" spans="1:8" ht="15.6" x14ac:dyDescent="0.3">
      <c r="A14" t="s">
        <v>86</v>
      </c>
      <c r="B14" t="s">
        <v>86</v>
      </c>
      <c r="C14" s="2" t="s">
        <v>86</v>
      </c>
      <c r="D14" s="2" t="s">
        <v>86</v>
      </c>
      <c r="E14" s="2" t="s">
        <v>86</v>
      </c>
      <c r="F14" s="2" t="s">
        <v>86</v>
      </c>
      <c r="G14" s="2" t="s">
        <v>86</v>
      </c>
      <c r="H14" s="2" t="s">
        <v>86</v>
      </c>
    </row>
    <row r="15" spans="1:8" ht="15.6" x14ac:dyDescent="0.3">
      <c r="A15" t="s">
        <v>86</v>
      </c>
      <c r="B15" t="s">
        <v>86</v>
      </c>
      <c r="C15" s="2" t="s">
        <v>86</v>
      </c>
      <c r="D15" s="2" t="s">
        <v>86</v>
      </c>
      <c r="E15" s="2" t="s">
        <v>86</v>
      </c>
      <c r="F15" s="2" t="s">
        <v>86</v>
      </c>
      <c r="G15" s="2" t="s">
        <v>86</v>
      </c>
      <c r="H15" s="2" t="s">
        <v>86</v>
      </c>
    </row>
    <row r="16" spans="1:8" ht="15.6" x14ac:dyDescent="0.3">
      <c r="A16" t="s">
        <v>86</v>
      </c>
      <c r="B16" t="s">
        <v>86</v>
      </c>
      <c r="C16" s="2" t="s">
        <v>86</v>
      </c>
      <c r="D16" s="2" t="s">
        <v>86</v>
      </c>
      <c r="E16" s="2" t="s">
        <v>86</v>
      </c>
      <c r="F16" s="2" t="s">
        <v>86</v>
      </c>
      <c r="G16" s="2" t="s">
        <v>86</v>
      </c>
      <c r="H16" s="2" t="s">
        <v>86</v>
      </c>
    </row>
    <row r="17" spans="1:8" ht="15.6" x14ac:dyDescent="0.3">
      <c r="A17" t="s">
        <v>86</v>
      </c>
      <c r="B17" t="s">
        <v>86</v>
      </c>
      <c r="C17" s="2" t="s">
        <v>86</v>
      </c>
      <c r="D17" s="2" t="s">
        <v>86</v>
      </c>
      <c r="E17" s="2" t="s">
        <v>86</v>
      </c>
      <c r="F17" s="2" t="s">
        <v>86</v>
      </c>
      <c r="G17" s="2" t="s">
        <v>86</v>
      </c>
      <c r="H17" s="2" t="s">
        <v>86</v>
      </c>
    </row>
    <row r="18" spans="1:8" ht="15.6" x14ac:dyDescent="0.3">
      <c r="A18" t="s">
        <v>86</v>
      </c>
      <c r="B18" t="s">
        <v>86</v>
      </c>
      <c r="C18" s="2" t="s">
        <v>86</v>
      </c>
      <c r="D18" s="2" t="s">
        <v>86</v>
      </c>
      <c r="E18" s="2" t="s">
        <v>86</v>
      </c>
      <c r="F18" s="2" t="s">
        <v>86</v>
      </c>
      <c r="G18" s="2" t="s">
        <v>86</v>
      </c>
      <c r="H18" s="2" t="s">
        <v>86</v>
      </c>
    </row>
    <row r="19" spans="1:8" ht="15.6" x14ac:dyDescent="0.3">
      <c r="A19" t="s">
        <v>86</v>
      </c>
      <c r="B19" t="s">
        <v>86</v>
      </c>
      <c r="C19" s="2" t="s">
        <v>86</v>
      </c>
      <c r="D19" s="2" t="s">
        <v>86</v>
      </c>
      <c r="E19" s="2" t="s">
        <v>86</v>
      </c>
      <c r="F19" s="2" t="s">
        <v>86</v>
      </c>
      <c r="G19" s="2" t="s">
        <v>86</v>
      </c>
      <c r="H19" s="2" t="s">
        <v>86</v>
      </c>
    </row>
    <row r="20" spans="1:8" ht="15.6" x14ac:dyDescent="0.3">
      <c r="A20" t="s">
        <v>86</v>
      </c>
      <c r="B20" t="s">
        <v>86</v>
      </c>
      <c r="C20" s="2" t="s">
        <v>86</v>
      </c>
      <c r="D20" s="2" t="s">
        <v>86</v>
      </c>
      <c r="E20" s="2" t="s">
        <v>86</v>
      </c>
      <c r="F20" s="2" t="s">
        <v>86</v>
      </c>
      <c r="G20" s="2" t="s">
        <v>86</v>
      </c>
      <c r="H20" s="2" t="s">
        <v>86</v>
      </c>
    </row>
    <row r="21" spans="1:8" ht="15.6" x14ac:dyDescent="0.3">
      <c r="A21" t="s">
        <v>86</v>
      </c>
      <c r="B21" t="s">
        <v>86</v>
      </c>
      <c r="C21" s="2" t="s">
        <v>86</v>
      </c>
      <c r="D21" s="2" t="s">
        <v>86</v>
      </c>
      <c r="E21" s="2" t="s">
        <v>86</v>
      </c>
      <c r="F21" s="2" t="s">
        <v>86</v>
      </c>
      <c r="G21" s="2" t="s">
        <v>86</v>
      </c>
      <c r="H21" s="2" t="s">
        <v>86</v>
      </c>
    </row>
    <row r="22" spans="1:8" ht="15.6" x14ac:dyDescent="0.3">
      <c r="A22" t="s">
        <v>86</v>
      </c>
      <c r="B22" t="s">
        <v>86</v>
      </c>
      <c r="C22" s="2" t="s">
        <v>86</v>
      </c>
      <c r="D22" s="2" t="s">
        <v>86</v>
      </c>
      <c r="E22" s="2" t="s">
        <v>86</v>
      </c>
      <c r="F22" s="2" t="s">
        <v>86</v>
      </c>
      <c r="G22" s="2" t="s">
        <v>86</v>
      </c>
      <c r="H22" s="2" t="s">
        <v>86</v>
      </c>
    </row>
    <row r="23" spans="1:8" ht="15.6" x14ac:dyDescent="0.3">
      <c r="A23" t="s">
        <v>86</v>
      </c>
      <c r="B23" t="s">
        <v>86</v>
      </c>
      <c r="C23" s="2" t="s">
        <v>86</v>
      </c>
      <c r="D23" s="2" t="s">
        <v>86</v>
      </c>
      <c r="E23" s="2" t="s">
        <v>86</v>
      </c>
      <c r="F23" s="2" t="s">
        <v>86</v>
      </c>
      <c r="G23" s="2" t="s">
        <v>86</v>
      </c>
      <c r="H23" s="2" t="s">
        <v>86</v>
      </c>
    </row>
    <row r="24" spans="1:8" ht="15.6" x14ac:dyDescent="0.3">
      <c r="A24" t="s">
        <v>86</v>
      </c>
      <c r="B24" t="s">
        <v>86</v>
      </c>
      <c r="C24" s="2" t="s">
        <v>86</v>
      </c>
      <c r="D24" s="2" t="s">
        <v>86</v>
      </c>
      <c r="E24" s="2" t="s">
        <v>86</v>
      </c>
      <c r="F24" s="2" t="s">
        <v>86</v>
      </c>
      <c r="G24" s="2" t="s">
        <v>86</v>
      </c>
      <c r="H24" s="2" t="s">
        <v>86</v>
      </c>
    </row>
    <row r="25" spans="1:8" ht="15.6" x14ac:dyDescent="0.3">
      <c r="A25" t="s">
        <v>86</v>
      </c>
      <c r="B25" t="s">
        <v>86</v>
      </c>
      <c r="C25" s="2" t="s">
        <v>86</v>
      </c>
      <c r="D25" s="2" t="s">
        <v>86</v>
      </c>
      <c r="E25" s="2" t="s">
        <v>86</v>
      </c>
      <c r="F25" s="2" t="s">
        <v>86</v>
      </c>
      <c r="G25" s="2" t="s">
        <v>86</v>
      </c>
      <c r="H25" s="2" t="s">
        <v>86</v>
      </c>
    </row>
    <row r="26" spans="1:8" ht="15.6" x14ac:dyDescent="0.3">
      <c r="A26" t="s">
        <v>86</v>
      </c>
      <c r="B26" t="s">
        <v>86</v>
      </c>
      <c r="C26" s="2" t="s">
        <v>86</v>
      </c>
      <c r="D26" s="2" t="s">
        <v>86</v>
      </c>
      <c r="E26" s="2" t="s">
        <v>86</v>
      </c>
      <c r="F26" s="2" t="s">
        <v>86</v>
      </c>
      <c r="G26" s="2" t="s">
        <v>86</v>
      </c>
      <c r="H26" s="2" t="s">
        <v>86</v>
      </c>
    </row>
    <row r="27" spans="1:8" ht="15.6" x14ac:dyDescent="0.3">
      <c r="A27" t="s">
        <v>86</v>
      </c>
      <c r="B27" t="s">
        <v>86</v>
      </c>
      <c r="C27" s="2" t="s">
        <v>86</v>
      </c>
      <c r="D27" s="2" t="s">
        <v>86</v>
      </c>
      <c r="E27" s="2" t="s">
        <v>86</v>
      </c>
      <c r="F27" s="2" t="s">
        <v>86</v>
      </c>
      <c r="G27" s="2" t="s">
        <v>86</v>
      </c>
      <c r="H27" s="2" t="s">
        <v>86</v>
      </c>
    </row>
    <row r="28" spans="1:8" ht="15.6" x14ac:dyDescent="0.3">
      <c r="A28" t="s">
        <v>86</v>
      </c>
      <c r="B28" t="s">
        <v>86</v>
      </c>
      <c r="C28" s="2" t="s">
        <v>86</v>
      </c>
      <c r="D28" s="2" t="s">
        <v>86</v>
      </c>
      <c r="E28" s="2" t="s">
        <v>86</v>
      </c>
      <c r="F28" s="2" t="s">
        <v>86</v>
      </c>
      <c r="G28" s="2" t="s">
        <v>86</v>
      </c>
      <c r="H28" s="2" t="s">
        <v>86</v>
      </c>
    </row>
    <row r="29" spans="1:8" ht="15.6" x14ac:dyDescent="0.3">
      <c r="A29" t="s">
        <v>86</v>
      </c>
      <c r="B29" t="s">
        <v>86</v>
      </c>
      <c r="C29" s="2" t="s">
        <v>86</v>
      </c>
      <c r="D29" s="2" t="s">
        <v>86</v>
      </c>
      <c r="E29" s="2" t="s">
        <v>86</v>
      </c>
      <c r="F29" s="2" t="s">
        <v>86</v>
      </c>
      <c r="G29" s="2" t="s">
        <v>86</v>
      </c>
      <c r="H29" s="2" t="s">
        <v>86</v>
      </c>
    </row>
    <row r="30" spans="1:8" ht="15.6" x14ac:dyDescent="0.3">
      <c r="A30" t="s">
        <v>86</v>
      </c>
      <c r="B30" t="s">
        <v>86</v>
      </c>
      <c r="C30" s="2" t="s">
        <v>86</v>
      </c>
      <c r="D30" s="2" t="s">
        <v>86</v>
      </c>
      <c r="E30" s="2" t="s">
        <v>86</v>
      </c>
      <c r="F30" s="2" t="s">
        <v>86</v>
      </c>
      <c r="G30" s="2" t="s">
        <v>86</v>
      </c>
      <c r="H30" s="2" t="s">
        <v>86</v>
      </c>
    </row>
    <row r="31" spans="1:8" ht="15.6" x14ac:dyDescent="0.3">
      <c r="A31" t="s">
        <v>86</v>
      </c>
      <c r="B31" t="s">
        <v>86</v>
      </c>
      <c r="C31" t="s">
        <v>86</v>
      </c>
      <c r="D31" t="s">
        <v>86</v>
      </c>
      <c r="E31" t="s">
        <v>86</v>
      </c>
      <c r="F31" t="s">
        <v>86</v>
      </c>
      <c r="G31" t="s">
        <v>86</v>
      </c>
      <c r="H31" t="s">
        <v>86</v>
      </c>
    </row>
    <row r="32" spans="1:8" ht="15.6" x14ac:dyDescent="0.3">
      <c r="A32" t="s">
        <v>86</v>
      </c>
      <c r="B32" t="s">
        <v>86</v>
      </c>
      <c r="C32" t="s">
        <v>86</v>
      </c>
      <c r="D32" t="s">
        <v>86</v>
      </c>
      <c r="E32" t="s">
        <v>86</v>
      </c>
      <c r="F32" t="s">
        <v>86</v>
      </c>
      <c r="G32" t="s">
        <v>86</v>
      </c>
      <c r="H32" t="s">
        <v>86</v>
      </c>
    </row>
    <row r="33" spans="1:8" ht="15.6" x14ac:dyDescent="0.3">
      <c r="A33" t="s">
        <v>86</v>
      </c>
      <c r="B33" t="s">
        <v>86</v>
      </c>
      <c r="C33" t="s">
        <v>86</v>
      </c>
      <c r="D33" t="s">
        <v>86</v>
      </c>
      <c r="E33" t="s">
        <v>86</v>
      </c>
      <c r="F33" t="s">
        <v>86</v>
      </c>
      <c r="G33" t="s">
        <v>86</v>
      </c>
      <c r="H33" t="s">
        <v>86</v>
      </c>
    </row>
    <row r="34" spans="1:8" ht="15.6" x14ac:dyDescent="0.3">
      <c r="A34" t="s">
        <v>86</v>
      </c>
      <c r="B34" t="s">
        <v>86</v>
      </c>
      <c r="C34" t="s">
        <v>86</v>
      </c>
      <c r="D34" t="s">
        <v>86</v>
      </c>
      <c r="E34" t="s">
        <v>86</v>
      </c>
      <c r="F34" t="s">
        <v>86</v>
      </c>
      <c r="G34" t="s">
        <v>86</v>
      </c>
      <c r="H34" t="s">
        <v>86</v>
      </c>
    </row>
    <row r="35" spans="1:8" ht="15.6" x14ac:dyDescent="0.3">
      <c r="A35" t="s">
        <v>86</v>
      </c>
      <c r="B35" t="s">
        <v>86</v>
      </c>
      <c r="C35" t="s">
        <v>86</v>
      </c>
      <c r="D35" t="s">
        <v>86</v>
      </c>
      <c r="E35" t="s">
        <v>86</v>
      </c>
      <c r="F35" t="s">
        <v>86</v>
      </c>
      <c r="G35" t="s">
        <v>86</v>
      </c>
      <c r="H35" t="s">
        <v>86</v>
      </c>
    </row>
    <row r="36" spans="1:8" ht="15.6" x14ac:dyDescent="0.3">
      <c r="A36" t="s">
        <v>86</v>
      </c>
      <c r="B36" t="s">
        <v>86</v>
      </c>
      <c r="C36" t="s">
        <v>86</v>
      </c>
      <c r="D36" t="s">
        <v>86</v>
      </c>
      <c r="E36" t="s">
        <v>86</v>
      </c>
      <c r="F36" t="s">
        <v>86</v>
      </c>
      <c r="G36" t="s">
        <v>86</v>
      </c>
      <c r="H36" t="s">
        <v>86</v>
      </c>
    </row>
    <row r="37" spans="1:8" ht="15.6" x14ac:dyDescent="0.3">
      <c r="A37" t="s">
        <v>86</v>
      </c>
      <c r="B37" t="s">
        <v>86</v>
      </c>
      <c r="C37" t="s">
        <v>86</v>
      </c>
      <c r="D37" t="s">
        <v>86</v>
      </c>
      <c r="E37" t="s">
        <v>86</v>
      </c>
      <c r="F37" t="s">
        <v>86</v>
      </c>
      <c r="G37" t="s">
        <v>86</v>
      </c>
      <c r="H37" t="s">
        <v>86</v>
      </c>
    </row>
    <row r="38" spans="1:8" ht="15.6" x14ac:dyDescent="0.3">
      <c r="A38" t="s">
        <v>86</v>
      </c>
      <c r="B38" t="s">
        <v>86</v>
      </c>
      <c r="C38" t="s">
        <v>86</v>
      </c>
      <c r="D38" t="s">
        <v>86</v>
      </c>
      <c r="E38" t="s">
        <v>86</v>
      </c>
      <c r="F38" t="s">
        <v>86</v>
      </c>
      <c r="G38" t="s">
        <v>86</v>
      </c>
      <c r="H38" t="s">
        <v>86</v>
      </c>
    </row>
    <row r="39" spans="1:8" ht="15.6" x14ac:dyDescent="0.3">
      <c r="A39" t="s">
        <v>86</v>
      </c>
      <c r="B39" t="s">
        <v>86</v>
      </c>
      <c r="C39" t="s">
        <v>86</v>
      </c>
      <c r="D39" t="s">
        <v>86</v>
      </c>
      <c r="E39" t="s">
        <v>86</v>
      </c>
      <c r="F39" t="s">
        <v>86</v>
      </c>
      <c r="G39" t="s">
        <v>86</v>
      </c>
      <c r="H39" t="s">
        <v>86</v>
      </c>
    </row>
    <row r="40" spans="1:8" ht="15.6" x14ac:dyDescent="0.3">
      <c r="A40" t="s">
        <v>86</v>
      </c>
      <c r="B40" t="s">
        <v>86</v>
      </c>
      <c r="C40" t="s">
        <v>86</v>
      </c>
      <c r="D40" t="s">
        <v>86</v>
      </c>
      <c r="E40" t="s">
        <v>86</v>
      </c>
      <c r="F40" t="s">
        <v>86</v>
      </c>
      <c r="G40" t="s">
        <v>86</v>
      </c>
      <c r="H40" t="s">
        <v>86</v>
      </c>
    </row>
    <row r="41" spans="1:8" ht="15.6" x14ac:dyDescent="0.3">
      <c r="A41" t="s">
        <v>86</v>
      </c>
      <c r="B41" t="s">
        <v>86</v>
      </c>
      <c r="C41" t="s">
        <v>86</v>
      </c>
      <c r="D41" t="s">
        <v>86</v>
      </c>
      <c r="E41" t="s">
        <v>86</v>
      </c>
      <c r="F41" t="s">
        <v>86</v>
      </c>
      <c r="G41" t="s">
        <v>86</v>
      </c>
      <c r="H41" t="s">
        <v>86</v>
      </c>
    </row>
    <row r="42" spans="1:8" ht="15.6" x14ac:dyDescent="0.3">
      <c r="A42" t="s">
        <v>86</v>
      </c>
      <c r="B42" t="s">
        <v>86</v>
      </c>
      <c r="C42" t="s">
        <v>86</v>
      </c>
      <c r="D42" t="s">
        <v>86</v>
      </c>
      <c r="E42" t="s">
        <v>86</v>
      </c>
      <c r="F42" t="s">
        <v>86</v>
      </c>
      <c r="G42" t="s">
        <v>86</v>
      </c>
      <c r="H42" t="s">
        <v>86</v>
      </c>
    </row>
    <row r="43" spans="1:8" ht="15.6" x14ac:dyDescent="0.3">
      <c r="A43" t="s">
        <v>86</v>
      </c>
      <c r="B43" t="s">
        <v>86</v>
      </c>
      <c r="C43" t="s">
        <v>86</v>
      </c>
      <c r="D43" t="s">
        <v>86</v>
      </c>
      <c r="E43" t="s">
        <v>86</v>
      </c>
      <c r="F43" t="s">
        <v>86</v>
      </c>
      <c r="G43" t="s">
        <v>86</v>
      </c>
      <c r="H43" t="s">
        <v>86</v>
      </c>
    </row>
    <row r="44" spans="1:8" ht="15.6" x14ac:dyDescent="0.3">
      <c r="A44" t="s">
        <v>86</v>
      </c>
      <c r="B44" t="s">
        <v>86</v>
      </c>
      <c r="C44" t="s">
        <v>86</v>
      </c>
      <c r="D44" t="s">
        <v>86</v>
      </c>
      <c r="E44" t="s">
        <v>86</v>
      </c>
      <c r="F44" t="s">
        <v>86</v>
      </c>
      <c r="G44" t="s">
        <v>86</v>
      </c>
      <c r="H44" t="s">
        <v>86</v>
      </c>
    </row>
    <row r="45" spans="1:8" ht="15.6" x14ac:dyDescent="0.3">
      <c r="A45" t="s">
        <v>86</v>
      </c>
      <c r="B45" t="s">
        <v>86</v>
      </c>
      <c r="C45" t="s">
        <v>86</v>
      </c>
      <c r="D45" t="s">
        <v>86</v>
      </c>
      <c r="E45" t="s">
        <v>86</v>
      </c>
      <c r="F45" t="s">
        <v>86</v>
      </c>
      <c r="G45" t="s">
        <v>86</v>
      </c>
      <c r="H45" t="s">
        <v>86</v>
      </c>
    </row>
    <row r="46" spans="1:8" ht="15.6" x14ac:dyDescent="0.3">
      <c r="A46" t="s">
        <v>86</v>
      </c>
      <c r="B46" t="s">
        <v>86</v>
      </c>
      <c r="C46" t="s">
        <v>86</v>
      </c>
      <c r="D46" t="s">
        <v>86</v>
      </c>
      <c r="E46" t="s">
        <v>86</v>
      </c>
      <c r="F46" t="s">
        <v>86</v>
      </c>
      <c r="G46" t="s">
        <v>86</v>
      </c>
      <c r="H46" t="s">
        <v>86</v>
      </c>
    </row>
    <row r="47" spans="1:8" ht="15.6" x14ac:dyDescent="0.3">
      <c r="A47" t="s">
        <v>86</v>
      </c>
      <c r="B47" t="s">
        <v>86</v>
      </c>
      <c r="C47" t="s">
        <v>86</v>
      </c>
      <c r="D47" t="s">
        <v>86</v>
      </c>
      <c r="E47" t="s">
        <v>86</v>
      </c>
      <c r="F47" t="s">
        <v>86</v>
      </c>
      <c r="G47" t="s">
        <v>86</v>
      </c>
      <c r="H47" t="s">
        <v>86</v>
      </c>
    </row>
    <row r="48" spans="1:8" ht="15.6" x14ac:dyDescent="0.3">
      <c r="A48" t="s">
        <v>86</v>
      </c>
      <c r="B48" t="s">
        <v>86</v>
      </c>
      <c r="C48" t="s">
        <v>86</v>
      </c>
      <c r="D48" t="s">
        <v>86</v>
      </c>
      <c r="E48" t="s">
        <v>86</v>
      </c>
      <c r="F48" t="s">
        <v>86</v>
      </c>
      <c r="G48" t="s">
        <v>86</v>
      </c>
      <c r="H48" t="s">
        <v>86</v>
      </c>
    </row>
    <row r="49" spans="1:8" ht="15.6" x14ac:dyDescent="0.3">
      <c r="A49" t="s">
        <v>86</v>
      </c>
      <c r="B49" t="s">
        <v>86</v>
      </c>
      <c r="C49" t="s">
        <v>86</v>
      </c>
      <c r="D49" t="s">
        <v>86</v>
      </c>
      <c r="E49" t="s">
        <v>86</v>
      </c>
      <c r="F49" t="s">
        <v>86</v>
      </c>
      <c r="G49" t="s">
        <v>86</v>
      </c>
      <c r="H49" t="s">
        <v>86</v>
      </c>
    </row>
    <row r="50" spans="1:8" ht="15.6" x14ac:dyDescent="0.3">
      <c r="A50" t="s">
        <v>86</v>
      </c>
      <c r="B50" t="s">
        <v>86</v>
      </c>
      <c r="C50" t="s">
        <v>86</v>
      </c>
      <c r="D50" t="s">
        <v>86</v>
      </c>
      <c r="E50" t="s">
        <v>86</v>
      </c>
      <c r="F50" t="s">
        <v>86</v>
      </c>
      <c r="G50" t="s">
        <v>86</v>
      </c>
      <c r="H50" t="s">
        <v>86</v>
      </c>
    </row>
    <row r="51" spans="1:8" ht="15.6" x14ac:dyDescent="0.3">
      <c r="A51" t="s">
        <v>86</v>
      </c>
      <c r="B51" t="s">
        <v>86</v>
      </c>
      <c r="C51" t="s">
        <v>86</v>
      </c>
      <c r="D51" t="s">
        <v>86</v>
      </c>
      <c r="E51" t="s">
        <v>86</v>
      </c>
      <c r="F51" t="s">
        <v>86</v>
      </c>
      <c r="G51" t="s">
        <v>86</v>
      </c>
      <c r="H51" t="s">
        <v>86</v>
      </c>
    </row>
    <row r="52" spans="1:8" ht="15.6" x14ac:dyDescent="0.3">
      <c r="A52" t="s">
        <v>86</v>
      </c>
      <c r="B52" t="s">
        <v>86</v>
      </c>
      <c r="C52" t="s">
        <v>86</v>
      </c>
      <c r="D52" t="s">
        <v>86</v>
      </c>
      <c r="E52" t="s">
        <v>86</v>
      </c>
      <c r="F52" t="s">
        <v>86</v>
      </c>
      <c r="G52" t="s">
        <v>86</v>
      </c>
      <c r="H52" t="s">
        <v>86</v>
      </c>
    </row>
  </sheetData>
  <pageMargins left="0.7" right="0.7" top="0.75" bottom="0.75" header="0.3" footer="0.3"/>
  <ignoredErrors>
    <ignoredError sqref="A1:H5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Rules</vt:lpstr>
      <vt:lpstr>Roster</vt:lpstr>
      <vt:lpstr>Academic</vt:lpstr>
      <vt:lpstr>Community</vt:lpstr>
      <vt:lpstr>Leadership</vt:lpstr>
      <vt:lpstr>Skills</vt:lpstr>
      <vt:lpstr>Parental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llacademy.events@gmail.com</cp:lastModifiedBy>
  <dcterms:modified xsi:type="dcterms:W3CDTF">2026-10-14T01:25:44Z</dcterms:modified>
</cp:coreProperties>
</file>