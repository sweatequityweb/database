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Rules" sheetId="1" state="visible" r:id="rId1"/>
    <sheet xmlns:r="http://schemas.openxmlformats.org/officeDocument/2006/relationships" name="Roster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2"/>
      <scheme val="minor"/>
    </font>
    <font>
      <i val="1"/>
      <color rgb="00555555"/>
      <sz val="10"/>
    </font>
  </fonts>
  <fills count="3">
    <fill>
      <patternFill/>
    </fill>
    <fill>
      <patternFill patternType="gray125"/>
    </fill>
    <fill>
      <patternFill patternType="solid">
        <fgColor rgb="00FFF8DC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9" pivotButton="0" quotePrefix="0" xfId="0"/>
    <xf numFmtId="0" fontId="1" fillId="0" borderId="0" applyAlignment="1" pivotButton="0" quotePrefix="0" xfId="0">
      <alignment/>
    </xf>
    <xf numFmtId="164" fontId="0" fillId="2" borderId="3" pivotButton="0" quotePrefix="0" xfId="0"/>
    <xf numFmtId="164" fontId="0" fillId="2" borderId="1" pivotButton="0" quotePrefix="0" xfId="0"/>
  </cellXfs>
  <cellStyles count="1">
    <cellStyle name="Normal" xfId="0" builtinId="0"/>
  </cellStyles>
  <tableStyles count="0" defaultTableStyle="TableStyleMedium9" defaultPivotStyle="PivotStyleMedium4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4.4"/>
  <cols>
    <col width="62.796875" customWidth="1" style="21" min="1" max="1"/>
    <col width="18.796875" customWidth="1" style="21" min="2" max="2"/>
    <col width="60.796875" customWidth="1" style="21" min="3" max="3"/>
  </cols>
  <sheetData>
    <row r="1" ht="15.6" customHeight="1" s="21">
      <c r="A1" t="inlineStr">
        <is>
          <t>SWEAT EQUITY POINT SYSTEM - REFERENCE</t>
        </is>
      </c>
    </row>
    <row r="2" ht="15.6" customHeight="1" s="21">
      <c r="A2" t="inlineStr">
        <is>
          <t>SY 2026-2027  -  reviewed every April</t>
        </is>
      </c>
    </row>
    <row r="4" ht="15.6" customHeight="1" s="21">
      <c r="A4" t="inlineStr">
        <is>
          <t>THE FIVE DIMENSIONS</t>
        </is>
      </c>
    </row>
    <row r="5" ht="15.6" customHeight="1" s="21">
      <c r="A5" t="inlineStr">
        <is>
          <t>Dimension</t>
        </is>
      </c>
      <c r="B5" t="inlineStr">
        <is>
          <t>Target Points</t>
        </is>
      </c>
      <c r="C5" t="inlineStr">
        <is>
          <t>Who attests</t>
        </is>
      </c>
    </row>
    <row r="6" ht="15.6" customHeight="1" s="21">
      <c r="A6" t="inlineStr">
        <is>
          <t>Academic Contributions</t>
        </is>
      </c>
      <c r="B6" t="n">
        <v>100</v>
      </c>
      <c r="C6" t="inlineStr">
        <is>
          <t>School principal, advisers, teachers</t>
        </is>
      </c>
    </row>
    <row r="7" ht="15.6" customHeight="1" s="21">
      <c r="A7" t="inlineStr">
        <is>
          <t>Community Engagement</t>
        </is>
      </c>
      <c r="B7" t="n">
        <v>50</v>
      </c>
      <c r="C7" t="inlineStr">
        <is>
          <t>Community official</t>
        </is>
      </c>
    </row>
    <row r="8" ht="15.6" customHeight="1" s="21">
      <c r="A8" t="inlineStr">
        <is>
          <t>Leadership Activities</t>
        </is>
      </c>
      <c r="B8" t="n">
        <v>50</v>
      </c>
      <c r="C8" t="inlineStr">
        <is>
          <t>Club adviser or official</t>
        </is>
      </c>
    </row>
    <row r="9" ht="15.6" customHeight="1" s="21">
      <c r="A9" t="inlineStr">
        <is>
          <t>Skill Development</t>
        </is>
      </c>
      <c r="B9" t="n">
        <v>30</v>
      </c>
      <c r="C9" t="inlineStr">
        <is>
          <t>Certificate presentation</t>
        </is>
      </c>
    </row>
    <row r="10" ht="15.6" customHeight="1" s="21">
      <c r="A10" t="inlineStr">
        <is>
          <t>Parental Involvement</t>
        </is>
      </c>
      <c r="B10" t="n">
        <v>40</v>
      </c>
      <c r="C10" t="inlineStr">
        <is>
          <t>Attendance log</t>
        </is>
      </c>
    </row>
    <row r="11" ht="15.6" customHeight="1" s="21">
      <c r="A11" t="inlineStr">
        <is>
          <t>TOTAL POSSIBLE</t>
        </is>
      </c>
      <c r="B11" t="n">
        <v>270</v>
      </c>
      <c r="C11" t="inlineStr"/>
    </row>
    <row r="13" ht="15.6" customHeight="1" s="21">
      <c r="A13" t="inlineStr">
        <is>
          <t>ACADEMIC CONTRIBUTIONS (100 points)</t>
        </is>
      </c>
    </row>
    <row r="14" ht="15.6" customHeight="1" s="21">
      <c r="A14" t="inlineStr">
        <is>
          <t>Activity</t>
        </is>
      </c>
      <c r="B14" t="inlineStr">
        <is>
          <t>Points</t>
        </is>
      </c>
    </row>
    <row r="15" ht="15.6" customHeight="1" s="21">
      <c r="A15" t="inlineStr">
        <is>
          <t>Tutoring peers or younger students</t>
        </is>
      </c>
      <c r="B15" t="inlineStr">
        <is>
          <t>10 per session</t>
        </is>
      </c>
    </row>
    <row r="16" ht="15.6" customHeight="1" s="21">
      <c r="A16" t="inlineStr">
        <is>
          <t>Presenting at academic workshops or career fairs</t>
        </is>
      </c>
      <c r="B16" t="inlineStr">
        <is>
          <t>20 per presentation</t>
        </is>
      </c>
    </row>
    <row r="17" ht="15.6" customHeight="1" s="21">
      <c r="A17" t="inlineStr">
        <is>
          <t>Publishing articles in research projects</t>
        </is>
      </c>
      <c r="B17" t="inlineStr">
        <is>
          <t>30 per publication</t>
        </is>
      </c>
    </row>
    <row r="18" ht="15.6" customHeight="1" s="21">
      <c r="A18" t="inlineStr">
        <is>
          <t>Participating in business / social outreach projects</t>
        </is>
      </c>
      <c r="B18" t="inlineStr">
        <is>
          <t>30</t>
        </is>
      </c>
    </row>
    <row r="20" ht="15.6" customHeight="1" s="21">
      <c r="A20" t="inlineStr">
        <is>
          <t>COMMUNITY ENGAGEMENT (50 points)</t>
        </is>
      </c>
    </row>
    <row r="21" ht="15.6" customHeight="1" s="21">
      <c r="A21" t="inlineStr">
        <is>
          <t>Activity</t>
        </is>
      </c>
      <c r="B21" t="inlineStr">
        <is>
          <t>Points</t>
        </is>
      </c>
    </row>
    <row r="22" ht="15.6" customHeight="1" s="21">
      <c r="A22" t="inlineStr">
        <is>
          <t>Participating in community service projects</t>
        </is>
      </c>
      <c r="B22" t="inlineStr">
        <is>
          <t>5 per hour</t>
        </is>
      </c>
    </row>
    <row r="23" ht="15.6" customHeight="1" s="21">
      <c r="A23" t="inlineStr">
        <is>
          <t>Organizing community events</t>
        </is>
      </c>
      <c r="B23" t="inlineStr">
        <is>
          <t>15 per event</t>
        </is>
      </c>
    </row>
    <row r="24" ht="15.6" customHeight="1" s="21">
      <c r="A24" t="inlineStr">
        <is>
          <t>Mentoring younger students or peers</t>
        </is>
      </c>
      <c r="B24" t="inlineStr">
        <is>
          <t>10 per mentee</t>
        </is>
      </c>
    </row>
    <row r="26" ht="15.6" customHeight="1" s="21">
      <c r="A26" t="inlineStr">
        <is>
          <t>LEADERSHIP ACTIVITIES (50 points)</t>
        </is>
      </c>
    </row>
    <row r="27" ht="15.6" customHeight="1" s="21">
      <c r="A27" t="inlineStr">
        <is>
          <t>Activity</t>
        </is>
      </c>
      <c r="B27" t="inlineStr">
        <is>
          <t>Points</t>
        </is>
      </c>
    </row>
    <row r="28" ht="15.6" customHeight="1" s="21">
      <c r="A28" t="inlineStr">
        <is>
          <t>Holding a position in student / civic organization or club</t>
        </is>
      </c>
      <c r="B28" t="inlineStr">
        <is>
          <t>20</t>
        </is>
      </c>
    </row>
    <row r="29" ht="15.6" customHeight="1" s="21">
      <c r="A29" t="inlineStr">
        <is>
          <t>Leading a team project or initiative</t>
        </is>
      </c>
      <c r="B29" t="inlineStr">
        <is>
          <t>15 per project</t>
        </is>
      </c>
    </row>
    <row r="30" ht="15.6" customHeight="1" s="21">
      <c r="A30" t="inlineStr">
        <is>
          <t>Facilitating workshop or peer discussions</t>
        </is>
      </c>
      <c r="B30" t="inlineStr">
        <is>
          <t>10 per session</t>
        </is>
      </c>
    </row>
    <row r="32" ht="15.6" customHeight="1" s="21">
      <c r="A32" t="inlineStr">
        <is>
          <t>SKILL DEVELOPMENT (30 points)</t>
        </is>
      </c>
    </row>
    <row r="33" ht="15.6" customHeight="1" s="21">
      <c r="A33" t="inlineStr">
        <is>
          <t>Activity</t>
        </is>
      </c>
      <c r="B33" t="inlineStr">
        <is>
          <t>Points</t>
        </is>
      </c>
    </row>
    <row r="34" ht="15.6" customHeight="1" s="21">
      <c r="A34" t="inlineStr">
        <is>
          <t>Attending leadership or skill-building workshops / practices</t>
        </is>
      </c>
      <c r="B34" t="inlineStr">
        <is>
          <t>10 per workshop</t>
        </is>
      </c>
    </row>
    <row r="35" ht="15.6" customHeight="1" s="21">
      <c r="A35" t="inlineStr">
        <is>
          <t>Participation in internship or job shadowing</t>
        </is>
      </c>
      <c r="B35" t="inlineStr">
        <is>
          <t>20 per internship</t>
        </is>
      </c>
    </row>
    <row r="36" ht="15.6" customHeight="1" s="21">
      <c r="A36" t="inlineStr">
        <is>
          <t>Completing online courses or certification</t>
        </is>
      </c>
      <c r="B36" t="inlineStr">
        <is>
          <t>15 per course</t>
        </is>
      </c>
    </row>
    <row r="38" ht="15.6" customHeight="1" s="21">
      <c r="A38" t="inlineStr">
        <is>
          <t>PARENTAL INVOLVEMENT (40 points)</t>
        </is>
      </c>
    </row>
    <row r="39" ht="15.6" customHeight="1" s="21">
      <c r="A39" t="inlineStr">
        <is>
          <t>Activity</t>
        </is>
      </c>
      <c r="B39" t="inlineStr">
        <is>
          <t>Points</t>
        </is>
      </c>
    </row>
    <row r="40" ht="15.6" customHeight="1" s="21">
      <c r="A40" t="inlineStr">
        <is>
          <t>Attendance in school events</t>
        </is>
      </c>
      <c r="B40" t="inlineStr">
        <is>
          <t>5 per event</t>
        </is>
      </c>
    </row>
    <row r="41" ht="15.6" customHeight="1" s="21">
      <c r="A41" t="inlineStr">
        <is>
          <t>Volunteering in school activities and school committees</t>
        </is>
      </c>
      <c r="B41" t="inlineStr">
        <is>
          <t>15 per involvement</t>
        </is>
      </c>
    </row>
    <row r="42" ht="15.6" customHeight="1" s="21">
      <c r="A42" t="inlineStr">
        <is>
          <t>Active participation in family workshops or educational sessions</t>
        </is>
      </c>
      <c r="B42" t="inlineStr">
        <is>
          <t>10 per workshop</t>
        </is>
      </c>
    </row>
    <row r="44" ht="15.6" customHeight="1" s="21">
      <c r="A44" t="inlineStr">
        <is>
          <t>SCHOLAR LEVELS (reviewed every April)</t>
        </is>
      </c>
    </row>
    <row r="45" ht="15.6" customHeight="1" s="21">
      <c r="A45" t="inlineStr">
        <is>
          <t>Level</t>
        </is>
      </c>
      <c r="B45" t="inlineStr">
        <is>
          <t>Points</t>
        </is>
      </c>
      <c r="C45" t="inlineStr">
        <is>
          <t>Scholarship / Recognition</t>
        </is>
      </c>
    </row>
    <row r="46" ht="15.6" customHeight="1" s="21">
      <c r="A46" t="inlineStr">
        <is>
          <t>Level 1</t>
        </is>
      </c>
      <c r="B46" t="inlineStr">
        <is>
          <t>1-100</t>
        </is>
      </c>
      <c r="C46" t="inlineStr">
        <is>
          <t>25% scholarship and/or stipend. Base recognition for student contributions alone.</t>
        </is>
      </c>
    </row>
    <row r="47" ht="15.6" customHeight="1" s="21">
      <c r="A47" t="inlineStr">
        <is>
          <t>Level 2</t>
        </is>
      </c>
      <c r="B47" t="inlineStr">
        <is>
          <t>101-150</t>
        </is>
      </c>
      <c r="C47" t="inlineStr">
        <is>
          <t>50% scholarship and/or stipend. Recognition of both student and parental contributions.</t>
        </is>
      </c>
    </row>
    <row r="48" ht="15.6" customHeight="1" s="21">
      <c r="A48" t="inlineStr">
        <is>
          <t>Level 3</t>
        </is>
      </c>
      <c r="B48" t="inlineStr">
        <is>
          <t>151-200</t>
        </is>
      </c>
      <c r="C48" t="inlineStr">
        <is>
          <t>75% scholarship and/or stipend. Special recognition for significant combined effort.</t>
        </is>
      </c>
    </row>
    <row r="49" ht="15.6" customHeight="1" s="21">
      <c r="A49" t="inlineStr">
        <is>
          <t>Level 4</t>
        </is>
      </c>
      <c r="B49" t="inlineStr">
        <is>
          <t>201+</t>
        </is>
      </c>
      <c r="C49" t="inlineStr">
        <is>
          <t>100% scholarship and/or stipend. Eligibility for awards and special honors.</t>
        </is>
      </c>
    </row>
    <row r="51" ht="15.6" customHeight="1" s="21">
      <c r="A51" t="inlineStr">
        <is>
          <t>PROCESS</t>
        </is>
      </c>
    </row>
    <row r="52" ht="15.6" customHeight="1" s="21">
      <c r="A52" t="inlineStr">
        <is>
          <t>1.</t>
        </is>
      </c>
      <c r="B52" t="inlineStr">
        <is>
          <t>Log student and parent activities in the online portal.</t>
        </is>
      </c>
    </row>
    <row r="53" ht="15.6" customHeight="1" s="21">
      <c r="A53" t="inlineStr">
        <is>
          <t>2.</t>
        </is>
      </c>
      <c r="B53" t="inlineStr">
        <is>
          <t>Require signature from school staff and event organizers.</t>
        </is>
      </c>
    </row>
    <row r="54" ht="15.6" customHeight="1" s="21">
      <c r="A54" t="inlineStr">
        <is>
          <t>3.</t>
        </is>
      </c>
      <c r="B54" t="inlineStr">
        <is>
          <t>Conduct mid-year and end-of-year assessments to evaluate point totals.</t>
        </is>
      </c>
    </row>
    <row r="55" ht="15.6" customHeight="1" s="21">
      <c r="A55" t="inlineStr">
        <is>
          <t>4.</t>
        </is>
      </c>
      <c r="B55" t="inlineStr">
        <is>
          <t>Give feedback and celebrate achievements.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B8" sqref="B8"/>
    </sheetView>
  </sheetViews>
  <sheetFormatPr baseColWidth="8" defaultRowHeight="14.4"/>
  <cols>
    <col width="12.796875" customWidth="1" style="21" min="1" max="1"/>
    <col width="34.796875" customWidth="1" style="21" min="2" max="2"/>
    <col width="14.796875" customWidth="1" style="21" min="3" max="5"/>
    <col width="12.796875" customWidth="1" style="21" min="6" max="7"/>
    <col width="10.796875" customWidth="1" style="21" min="8" max="8"/>
    <col width="32.796875" customWidth="1" style="21" min="9" max="9"/>
  </cols>
  <sheetData>
    <row r="1" ht="15.6" customHeight="1" s="21">
      <c r="A1" t="inlineStr">
        <is>
          <t>SWEAT EQUITY JOURNAL - ROSTER SUMMARY</t>
        </is>
      </c>
    </row>
    <row r="2" ht="15.6" customHeight="1" s="21">
      <c r="A2" t="inlineStr">
        <is>
          <t>SY 2026-2027  -  Noah Batch  -  Eligibility reviewed every April</t>
        </is>
      </c>
    </row>
    <row r="3" ht="16.2" customHeight="1" s="21" thickBot="1">
      <c r="A3" s="23" t="inlineStr">
        <is>
          <t>HOW TO USE: type each scholar's five dimension totals from their own journal workbook into the shaded cells (columns C to G). TOTAL and LEVEL calculate automatically here and on the website. Do not rename the columns or the 'Roster' sheet.</t>
        </is>
      </c>
    </row>
    <row r="4" ht="16.2" customHeight="1" s="21" thickBot="1">
      <c r="A4" s="22" t="inlineStr">
        <is>
          <t>Household ID</t>
        </is>
      </c>
      <c r="B4" s="5" t="inlineStr">
        <is>
          <t>Scholar</t>
        </is>
      </c>
      <c r="C4" s="5" t="inlineStr">
        <is>
          <t>Academic (100)</t>
        </is>
      </c>
      <c r="D4" s="5" t="inlineStr">
        <is>
          <t>Community (50)</t>
        </is>
      </c>
      <c r="E4" s="5" t="inlineStr">
        <is>
          <t>Leadership (50)</t>
        </is>
      </c>
      <c r="F4" s="5" t="inlineStr">
        <is>
          <t>Skills (30)</t>
        </is>
      </c>
      <c r="G4" s="5" t="inlineStr">
        <is>
          <t>Parental (40)</t>
        </is>
      </c>
      <c r="H4" s="5" t="inlineStr">
        <is>
          <t>TOTAL</t>
        </is>
      </c>
      <c r="I4" s="6" t="inlineStr">
        <is>
          <t>Scholar Level</t>
        </is>
      </c>
    </row>
    <row r="5" ht="15.6" customHeight="1" s="21">
      <c r="A5" s="4" t="inlineStr">
        <is>
          <t>HH-001</t>
        </is>
      </c>
      <c r="B5" s="4" t="inlineStr">
        <is>
          <t>MATEO ASUMEN BOBILES</t>
        </is>
      </c>
      <c r="C5" s="24" t="n">
        <v>0</v>
      </c>
      <c r="D5" s="24" t="n">
        <v>0</v>
      </c>
      <c r="E5" s="24" t="n">
        <v>0</v>
      </c>
      <c r="F5" s="24" t="n">
        <v>0</v>
      </c>
      <c r="G5" s="24" t="n">
        <v>0</v>
      </c>
      <c r="H5" s="4">
        <f>SUM(C5:G5)</f>
        <v/>
      </c>
      <c r="I5" s="4">
        <f>IF(H5&gt;=201,"Level 4 - 100% (awards / honors)",IF(H5&gt;=151,"Level 3 - 75%",IF(H5&gt;=101,"Level 2 - 50%",IF(H5&gt;=1,"Level 1 - 25%","-"))))</f>
        <v/>
      </c>
    </row>
    <row r="6" ht="15.6" customHeight="1" s="21">
      <c r="A6" s="2" t="inlineStr">
        <is>
          <t>HH-002</t>
        </is>
      </c>
      <c r="B6" s="2" t="inlineStr">
        <is>
          <t>JUNRISH EBUENGA CAONES</t>
        </is>
      </c>
      <c r="C6" s="25" t="n">
        <v>0</v>
      </c>
      <c r="D6" s="25" t="n">
        <v>0</v>
      </c>
      <c r="E6" s="25" t="n">
        <v>0</v>
      </c>
      <c r="F6" s="25" t="n">
        <v>0</v>
      </c>
      <c r="G6" s="25" t="n">
        <v>0</v>
      </c>
      <c r="H6" s="2">
        <f>SUM(C6:G6)</f>
        <v/>
      </c>
      <c r="I6" s="2">
        <f>IF(H6&gt;=201,"Level 4 - 100% (awards / honors)",IF(H6&gt;=151,"Level 3 - 75%",IF(H6&gt;=101,"Level 2 - 50%",IF(H6&gt;=1,"Level 1 - 25%","-"))))</f>
        <v/>
      </c>
    </row>
    <row r="7" ht="15.6" customHeight="1" s="21">
      <c r="A7" s="2" t="inlineStr">
        <is>
          <t>HH-003</t>
        </is>
      </c>
      <c r="B7" s="2" t="inlineStr">
        <is>
          <t>RICHLYN LANDICHO CAPULO</t>
        </is>
      </c>
      <c r="C7" s="25" t="n">
        <v>0</v>
      </c>
      <c r="D7" s="25" t="n">
        <v>0</v>
      </c>
      <c r="E7" s="25" t="n">
        <v>0</v>
      </c>
      <c r="F7" s="25" t="n">
        <v>0</v>
      </c>
      <c r="G7" s="25" t="n">
        <v>0</v>
      </c>
      <c r="H7" s="2">
        <f>SUM(C7:G7)</f>
        <v/>
      </c>
      <c r="I7" s="2">
        <f>IF(H7&gt;=201,"Level 4 - 100% (awards / honors)",IF(H7&gt;=151,"Level 3 - 75%",IF(H7&gt;=101,"Level 2 - 50%",IF(H7&gt;=1,"Level 1 - 25%","-"))))</f>
        <v/>
      </c>
    </row>
    <row r="8" ht="15.6" customHeight="1" s="21">
      <c r="A8" s="2" t="inlineStr">
        <is>
          <t>HH-004</t>
        </is>
      </c>
      <c r="B8" s="2" t="inlineStr">
        <is>
          <t>FRANCIS ALLESANDRO CASPE CUSTODIO</t>
        </is>
      </c>
      <c r="C8" s="25" t="n">
        <v>0</v>
      </c>
      <c r="D8" s="25" t="n">
        <v>0</v>
      </c>
      <c r="E8" s="25" t="n">
        <v>0</v>
      </c>
      <c r="F8" s="25" t="n">
        <v>0</v>
      </c>
      <c r="G8" s="25" t="n">
        <v>0</v>
      </c>
      <c r="H8" s="2">
        <f>SUM(C8:G8)</f>
        <v/>
      </c>
      <c r="I8" s="2">
        <f>IF(H8&gt;=201,"Level 4 - 100% (awards / honors)",IF(H8&gt;=151,"Level 3 - 75%",IF(H8&gt;=101,"Level 2 - 50%",IF(H8&gt;=1,"Level 1 - 25%","-"))))</f>
        <v/>
      </c>
    </row>
    <row r="9" ht="15.6" customHeight="1" s="21">
      <c r="A9" s="2" t="inlineStr">
        <is>
          <t>HH-005</t>
        </is>
      </c>
      <c r="B9" s="2" t="inlineStr">
        <is>
          <t>REYNIEL ALLEN ROBLES ESCUETA</t>
        </is>
      </c>
      <c r="C9" s="25" t="n">
        <v>0</v>
      </c>
      <c r="D9" s="25" t="n">
        <v>0</v>
      </c>
      <c r="E9" s="25" t="n">
        <v>0</v>
      </c>
      <c r="F9" s="25" t="n">
        <v>0</v>
      </c>
      <c r="G9" s="25" t="n">
        <v>0</v>
      </c>
      <c r="H9" s="2">
        <f>SUM(C9:G9)</f>
        <v/>
      </c>
      <c r="I9" s="2">
        <f>IF(H9&gt;=201,"Level 4 - 100% (awards / honors)",IF(H9&gt;=151,"Level 3 - 75%",IF(H9&gt;=101,"Level 2 - 50%",IF(H9&gt;=1,"Level 1 - 25%","-"))))</f>
        <v/>
      </c>
    </row>
    <row r="10" ht="15.6" customHeight="1" s="21">
      <c r="A10" s="2" t="inlineStr">
        <is>
          <t>HH-006</t>
        </is>
      </c>
      <c r="B10" s="2" t="inlineStr">
        <is>
          <t>JOHN CARLO BARRUGA LAZANAS</t>
        </is>
      </c>
      <c r="C10" s="25" t="n">
        <v>0</v>
      </c>
      <c r="D10" s="25" t="n">
        <v>0</v>
      </c>
      <c r="E10" s="25" t="n">
        <v>0</v>
      </c>
      <c r="F10" s="25" t="n">
        <v>0</v>
      </c>
      <c r="G10" s="25" t="n">
        <v>0</v>
      </c>
      <c r="H10" s="2">
        <f>SUM(C10:G10)</f>
        <v/>
      </c>
      <c r="I10" s="2">
        <f>IF(H10&gt;=201,"Level 4 - 100% (awards / honors)",IF(H10&gt;=151,"Level 3 - 75%",IF(H10&gt;=101,"Level 2 - 50%",IF(H10&gt;=1,"Level 1 - 25%","-"))))</f>
        <v/>
      </c>
    </row>
    <row r="11" ht="15.6" customHeight="1" s="21">
      <c r="A11" s="2" t="inlineStr">
        <is>
          <t>HH-007</t>
        </is>
      </c>
      <c r="B11" s="2" t="inlineStr">
        <is>
          <t>PHILIP ANDREW CABALLERO LOGRONIO</t>
        </is>
      </c>
      <c r="C11" s="25" t="n">
        <v>0</v>
      </c>
      <c r="D11" s="25" t="n">
        <v>0</v>
      </c>
      <c r="E11" s="25" t="n">
        <v>0</v>
      </c>
      <c r="F11" s="25" t="n">
        <v>0</v>
      </c>
      <c r="G11" s="25" t="n">
        <v>0</v>
      </c>
      <c r="H11" s="2">
        <f>SUM(C11:G11)</f>
        <v/>
      </c>
      <c r="I11" s="2">
        <f>IF(H11&gt;=201,"Level 4 - 100% (awards / honors)",IF(H11&gt;=151,"Level 3 - 75%",IF(H11&gt;=101,"Level 2 - 50%",IF(H11&gt;=1,"Level 1 - 25%","-"))))</f>
        <v/>
      </c>
    </row>
    <row r="12" ht="15.6" customHeight="1" s="21">
      <c r="A12" s="2" t="inlineStr">
        <is>
          <t>HH-008</t>
        </is>
      </c>
      <c r="B12" s="2" t="inlineStr">
        <is>
          <t>CANDICE BARLOLAY MOSQUERA</t>
        </is>
      </c>
      <c r="C12" s="25" t="n">
        <v>0</v>
      </c>
      <c r="D12" s="25" t="n">
        <v>0</v>
      </c>
      <c r="E12" s="25" t="n">
        <v>0</v>
      </c>
      <c r="F12" s="25" t="n">
        <v>0</v>
      </c>
      <c r="G12" s="25" t="n">
        <v>0</v>
      </c>
      <c r="H12" s="2">
        <f>SUM(C12:G12)</f>
        <v/>
      </c>
      <c r="I12" s="2">
        <f>IF(H12&gt;=201,"Level 4 - 100% (awards / honors)",IF(H12&gt;=151,"Level 3 - 75%",IF(H12&gt;=101,"Level 2 - 50%",IF(H12&gt;=1,"Level 1 - 25%","-"))))</f>
        <v/>
      </c>
    </row>
    <row r="13" ht="15.6" customHeight="1" s="21">
      <c r="A13" s="2" t="inlineStr">
        <is>
          <t>HH-009</t>
        </is>
      </c>
      <c r="B13" s="2" t="inlineStr">
        <is>
          <t>RHEAN MARK MAGANA PACHECO</t>
        </is>
      </c>
      <c r="C13" s="25" t="n">
        <v>0</v>
      </c>
      <c r="D13" s="25" t="n">
        <v>0</v>
      </c>
      <c r="E13" s="25" t="n">
        <v>0</v>
      </c>
      <c r="F13" s="25" t="n">
        <v>0</v>
      </c>
      <c r="G13" s="25" t="n">
        <v>0</v>
      </c>
      <c r="H13" s="2">
        <f>SUM(C13:G13)</f>
        <v/>
      </c>
      <c r="I13" s="2">
        <f>IF(H13&gt;=201,"Level 4 - 100% (awards / honors)",IF(H13&gt;=151,"Level 3 - 75%",IF(H13&gt;=101,"Level 2 - 50%",IF(H13&gt;=1,"Level 1 - 25%","-"))))</f>
        <v/>
      </c>
    </row>
    <row r="14" ht="15.6" customHeight="1" s="21">
      <c r="A14" s="2" t="inlineStr">
        <is>
          <t>HH-010</t>
        </is>
      </c>
      <c r="B14" s="2" t="inlineStr">
        <is>
          <t>AKEESHA LIANNE ALCAZAR ROSALES</t>
        </is>
      </c>
      <c r="C14" s="25" t="n">
        <v>0</v>
      </c>
      <c r="D14" s="25" t="n">
        <v>0</v>
      </c>
      <c r="E14" s="25" t="n">
        <v>0</v>
      </c>
      <c r="F14" s="25" t="n">
        <v>0</v>
      </c>
      <c r="G14" s="25" t="n">
        <v>0</v>
      </c>
      <c r="H14" s="2">
        <f>SUM(C14:G14)</f>
        <v/>
      </c>
      <c r="I14" s="2">
        <f>IF(H14&gt;=201,"Level 4 - 100% (awards / honors)",IF(H14&gt;=151,"Level 3 - 75%",IF(H14&gt;=101,"Level 2 - 50%",IF(H14&gt;=1,"Level 1 - 25%","-"))))</f>
        <v/>
      </c>
    </row>
    <row r="15" ht="15.6" customHeight="1" s="21">
      <c r="A15" s="2" t="inlineStr">
        <is>
          <t>HH-011</t>
        </is>
      </c>
      <c r="B15" s="2" t="inlineStr">
        <is>
          <t>JOSHUA DAVID RELLATORRES ROSAS</t>
        </is>
      </c>
      <c r="C15" s="25" t="n">
        <v>0</v>
      </c>
      <c r="D15" s="25" t="n">
        <v>0</v>
      </c>
      <c r="E15" s="25" t="n">
        <v>0</v>
      </c>
      <c r="F15" s="25" t="n">
        <v>0</v>
      </c>
      <c r="G15" s="25" t="n">
        <v>0</v>
      </c>
      <c r="H15" s="2">
        <f>SUM(C15:G15)</f>
        <v/>
      </c>
      <c r="I15" s="2">
        <f>IF(H15&gt;=201,"Level 4 - 100% (awards / honors)",IF(H15&gt;=151,"Level 3 - 75%",IF(H15&gt;=101,"Level 2 - 50%",IF(H15&gt;=1,"Level 1 - 25%","-"))))</f>
        <v/>
      </c>
    </row>
    <row r="16" ht="15.6" customHeight="1" s="21">
      <c r="A16" s="2" t="inlineStr">
        <is>
          <t>HH-012</t>
        </is>
      </c>
      <c r="B16" s="2" t="inlineStr">
        <is>
          <t>VINCE ARON SANGALANG SUGUITAN</t>
        </is>
      </c>
      <c r="C16" s="25" t="n">
        <v>0</v>
      </c>
      <c r="D16" s="25" t="n">
        <v>0</v>
      </c>
      <c r="E16" s="25" t="n">
        <v>0</v>
      </c>
      <c r="F16" s="25" t="n">
        <v>0</v>
      </c>
      <c r="G16" s="25" t="n">
        <v>0</v>
      </c>
      <c r="H16" s="2">
        <f>SUM(C16:G16)</f>
        <v/>
      </c>
      <c r="I16" s="2">
        <f>IF(H16&gt;=201,"Level 4 - 100% (awards / honors)",IF(H16&gt;=151,"Level 3 - 75%",IF(H16&gt;=101,"Level 2 - 50%",IF(H16&gt;=1,"Level 1 - 25%","-"))))</f>
        <v/>
      </c>
    </row>
    <row r="17" ht="15.6" customHeight="1" s="21">
      <c r="A17" s="2" t="inlineStr">
        <is>
          <t>HH-013</t>
        </is>
      </c>
      <c r="B17" s="2" t="inlineStr">
        <is>
          <t>TRICIA YHANIE ABITO BIEN</t>
        </is>
      </c>
      <c r="C17" s="25" t="n">
        <v>0</v>
      </c>
      <c r="D17" s="25" t="n">
        <v>0</v>
      </c>
      <c r="E17" s="25" t="n">
        <v>0</v>
      </c>
      <c r="F17" s="25" t="n">
        <v>0</v>
      </c>
      <c r="G17" s="25" t="n">
        <v>0</v>
      </c>
      <c r="H17" s="2">
        <f>SUM(C17:G17)</f>
        <v/>
      </c>
      <c r="I17" s="2">
        <f>IF(H17&gt;=201,"Level 4 - 100% (awards / honors)",IF(H17&gt;=151,"Level 3 - 75%",IF(H17&gt;=101,"Level 2 - 50%",IF(H17&gt;=1,"Level 1 - 25%","-"))))</f>
        <v/>
      </c>
    </row>
    <row r="18" ht="15.6" customHeight="1" s="21">
      <c r="A18" s="2" t="inlineStr">
        <is>
          <t>HH-014</t>
        </is>
      </c>
      <c r="B18" s="2" t="inlineStr">
        <is>
          <t>KRIZZEL CADE AUSTRIA DERLA</t>
        </is>
      </c>
      <c r="C18" s="25" t="n">
        <v>0</v>
      </c>
      <c r="D18" s="25" t="n">
        <v>0</v>
      </c>
      <c r="E18" s="25" t="n">
        <v>0</v>
      </c>
      <c r="F18" s="25" t="n">
        <v>0</v>
      </c>
      <c r="G18" s="25" t="n">
        <v>0</v>
      </c>
      <c r="H18" s="2">
        <f>SUM(C18:G18)</f>
        <v/>
      </c>
      <c r="I18" s="2">
        <f>IF(H18&gt;=201,"Level 4 - 100% (awards / honors)",IF(H18&gt;=151,"Level 3 - 75%",IF(H18&gt;=101,"Level 2 - 50%",IF(H18&gt;=1,"Level 1 - 25%","-"))))</f>
        <v/>
      </c>
    </row>
    <row r="19" ht="15.6" customHeight="1" s="21">
      <c r="A19" s="2" t="inlineStr">
        <is>
          <t>HH-015</t>
        </is>
      </c>
      <c r="B19" s="2" t="inlineStr">
        <is>
          <t>HERSHEY MHAORI HERNANDEZ</t>
        </is>
      </c>
      <c r="C19" s="25" t="n">
        <v>0</v>
      </c>
      <c r="D19" s="25" t="n">
        <v>0</v>
      </c>
      <c r="E19" s="25" t="n">
        <v>0</v>
      </c>
      <c r="F19" s="25" t="n">
        <v>0</v>
      </c>
      <c r="G19" s="25" t="n">
        <v>0</v>
      </c>
      <c r="H19" s="2">
        <f>SUM(C19:G19)</f>
        <v/>
      </c>
      <c r="I19" s="2">
        <f>IF(H19&gt;=201,"Level 4 - 100% (awards / honors)",IF(H19&gt;=151,"Level 3 - 75%",IF(H19&gt;=101,"Level 2 - 50%",IF(H19&gt;=1,"Level 1 - 25%","-"))))</f>
        <v/>
      </c>
    </row>
    <row r="20" ht="15.6" customHeight="1" s="21">
      <c r="A20" s="2" t="inlineStr">
        <is>
          <t>HH-016</t>
        </is>
      </c>
      <c r="B20" s="2" t="inlineStr">
        <is>
          <t>RHAYNE LUMAG MARTINEZ</t>
        </is>
      </c>
      <c r="C20" s="25" t="n">
        <v>0</v>
      </c>
      <c r="D20" s="25" t="n">
        <v>0</v>
      </c>
      <c r="E20" s="25" t="n">
        <v>0</v>
      </c>
      <c r="F20" s="25" t="n">
        <v>0</v>
      </c>
      <c r="G20" s="25" t="n">
        <v>0</v>
      </c>
      <c r="H20" s="2">
        <f>SUM(C20:G20)</f>
        <v/>
      </c>
      <c r="I20" s="2">
        <f>IF(H20&gt;=201,"Level 4 - 100% (awards / honors)",IF(H20&gt;=151,"Level 3 - 75%",IF(H20&gt;=101,"Level 2 - 50%",IF(H20&gt;=1,"Level 1 - 25%","-"))))</f>
        <v/>
      </c>
    </row>
    <row r="21" ht="15.6" customHeight="1" s="21">
      <c r="A21" s="2" t="inlineStr">
        <is>
          <t>HH-017</t>
        </is>
      </c>
      <c r="B21" s="2" t="inlineStr">
        <is>
          <t>KEISHA BRICE PANOPIO MELEGRITO</t>
        </is>
      </c>
      <c r="C21" s="25" t="n">
        <v>0</v>
      </c>
      <c r="D21" s="25" t="n">
        <v>0</v>
      </c>
      <c r="E21" s="25" t="n">
        <v>0</v>
      </c>
      <c r="F21" s="25" t="n">
        <v>0</v>
      </c>
      <c r="G21" s="25" t="n">
        <v>0</v>
      </c>
      <c r="H21" s="2">
        <f>SUM(C21:G21)</f>
        <v/>
      </c>
      <c r="I21" s="2">
        <f>IF(H21&gt;=201,"Level 4 - 100% (awards / honors)",IF(H21&gt;=151,"Level 3 - 75%",IF(H21&gt;=101,"Level 2 - 50%",IF(H21&gt;=1,"Level 1 - 25%","-"))))</f>
        <v/>
      </c>
    </row>
    <row r="22" ht="15.6" customHeight="1" s="21">
      <c r="A22" s="2" t="inlineStr">
        <is>
          <t>HH-018</t>
        </is>
      </c>
      <c r="B22" s="2" t="inlineStr">
        <is>
          <t>KYLE BRENAN SAGADRACA MENDOZA</t>
        </is>
      </c>
      <c r="C22" s="25" t="n">
        <v>0</v>
      </c>
      <c r="D22" s="25" t="n">
        <v>0</v>
      </c>
      <c r="E22" s="25" t="n">
        <v>0</v>
      </c>
      <c r="F22" s="25" t="n">
        <v>0</v>
      </c>
      <c r="G22" s="25" t="n">
        <v>0</v>
      </c>
      <c r="H22" s="2">
        <f>SUM(C22:G22)</f>
        <v/>
      </c>
      <c r="I22" s="2">
        <f>IF(H22&gt;=201,"Level 4 - 100% (awards / honors)",IF(H22&gt;=151,"Level 3 - 75%",IF(H22&gt;=101,"Level 2 - 50%",IF(H22&gt;=1,"Level 1 - 25%","-"))))</f>
        <v/>
      </c>
    </row>
    <row r="23" ht="15.6" customHeight="1" s="21">
      <c r="A23" s="2" t="inlineStr">
        <is>
          <t>HH-019</t>
        </is>
      </c>
      <c r="B23" s="2" t="inlineStr">
        <is>
          <t>NICOLE ANNE UROT SABAL</t>
        </is>
      </c>
      <c r="C23" s="25" t="n">
        <v>0</v>
      </c>
      <c r="D23" s="25" t="n">
        <v>0</v>
      </c>
      <c r="E23" s="25" t="n">
        <v>0</v>
      </c>
      <c r="F23" s="25" t="n">
        <v>0</v>
      </c>
      <c r="G23" s="25" t="n">
        <v>0</v>
      </c>
      <c r="H23" s="2">
        <f>SUM(C23:G23)</f>
        <v/>
      </c>
      <c r="I23" s="2">
        <f>IF(H23&gt;=201,"Level 4 - 100% (awards / honors)",IF(H23&gt;=151,"Level 3 - 75%",IF(H23&gt;=101,"Level 2 - 50%",IF(H23&gt;=1,"Level 1 - 25%","-"))))</f>
        <v/>
      </c>
    </row>
    <row r="24" ht="15.6" customHeight="1" s="21">
      <c r="A24" s="2" t="inlineStr">
        <is>
          <t>HH-020</t>
        </is>
      </c>
      <c r="B24" s="2" t="inlineStr">
        <is>
          <t>AIKEE MIKAELA MIRANDUQUE SANTOS</t>
        </is>
      </c>
      <c r="C24" s="25" t="n">
        <v>0</v>
      </c>
      <c r="D24" s="25" t="n">
        <v>0</v>
      </c>
      <c r="E24" s="25" t="n">
        <v>0</v>
      </c>
      <c r="F24" s="25" t="n">
        <v>0</v>
      </c>
      <c r="G24" s="25" t="n">
        <v>0</v>
      </c>
      <c r="H24" s="2">
        <f>SUM(C24:G24)</f>
        <v/>
      </c>
      <c r="I24" s="2">
        <f>IF(H24&gt;=201,"Level 4 - 100% (awards / honors)",IF(H24&gt;=151,"Level 3 - 75%",IF(H24&gt;=101,"Level 2 - 50%",IF(H24&gt;=1,"Level 1 - 25%","-"))))</f>
        <v/>
      </c>
    </row>
    <row r="25" ht="15.6" customHeight="1" s="21">
      <c r="A25" s="2" t="inlineStr">
        <is>
          <t>HH-021</t>
        </is>
      </c>
      <c r="B25" s="2" t="inlineStr">
        <is>
          <t>QUIM DRIZEL QUIMIO TOLENTINO</t>
        </is>
      </c>
      <c r="C25" s="25" t="n">
        <v>0</v>
      </c>
      <c r="D25" s="25" t="n">
        <v>0</v>
      </c>
      <c r="E25" s="25" t="n">
        <v>0</v>
      </c>
      <c r="F25" s="25" t="n">
        <v>0</v>
      </c>
      <c r="G25" s="25" t="n">
        <v>0</v>
      </c>
      <c r="H25" s="2">
        <f>SUM(C25:G25)</f>
        <v/>
      </c>
      <c r="I25" s="2">
        <f>IF(H25&gt;=201,"Level 4 - 100% (awards / honors)",IF(H25&gt;=151,"Level 3 - 75%",IF(H25&gt;=101,"Level 2 - 50%",IF(H25&gt;=1,"Level 1 - 25%","-"))))</f>
        <v/>
      </c>
    </row>
    <row r="26" ht="15.6" customHeight="1" s="21">
      <c r="A26" s="2" t="inlineStr">
        <is>
          <t>HH-022</t>
        </is>
      </c>
      <c r="B26" s="2" t="inlineStr">
        <is>
          <t>XYRA HYACINTH RODRIGUEZ CLEOPAS</t>
        </is>
      </c>
      <c r="C26" s="25" t="n">
        <v>0</v>
      </c>
      <c r="D26" s="25" t="n">
        <v>0</v>
      </c>
      <c r="E26" s="25" t="n">
        <v>0</v>
      </c>
      <c r="F26" s="25" t="n">
        <v>0</v>
      </c>
      <c r="G26" s="25" t="n">
        <v>0</v>
      </c>
      <c r="H26" s="2">
        <f>SUM(C26:G26)</f>
        <v/>
      </c>
      <c r="I26" s="2">
        <f>IF(H26&gt;=201,"Level 4 - 100% (awards / honors)",IF(H26&gt;=151,"Level 3 - 75%",IF(H26&gt;=101,"Level 2 - 50%",IF(H26&gt;=1,"Level 1 - 25%","-"))))</f>
        <v/>
      </c>
    </row>
    <row r="27" ht="15.6" customHeight="1" s="21">
      <c r="A27" s="2" t="inlineStr">
        <is>
          <t>HH-023</t>
        </is>
      </c>
      <c r="B27" s="2" t="inlineStr">
        <is>
          <t>SAMANTHA RAGODON ECRAELA</t>
        </is>
      </c>
      <c r="C27" s="25" t="n">
        <v>0</v>
      </c>
      <c r="D27" s="25" t="n">
        <v>0</v>
      </c>
      <c r="E27" s="25" t="n">
        <v>0</v>
      </c>
      <c r="F27" s="25" t="n">
        <v>0</v>
      </c>
      <c r="G27" s="25" t="n">
        <v>0</v>
      </c>
      <c r="H27" s="2">
        <f>SUM(C27:G27)</f>
        <v/>
      </c>
      <c r="I27" s="2">
        <f>IF(H27&gt;=201,"Level 4 - 100% (awards / honors)",IF(H27&gt;=151,"Level 3 - 75%",IF(H27&gt;=101,"Level 2 - 50%",IF(H27&gt;=1,"Level 1 - 25%","-"))))</f>
        <v/>
      </c>
    </row>
    <row r="28" ht="15.6" customHeight="1" s="21">
      <c r="A28" s="2" t="inlineStr">
        <is>
          <t>HH-024</t>
        </is>
      </c>
      <c r="B28" s="2" t="inlineStr">
        <is>
          <t>FAITH EUNICE FAMILIAR FLORES</t>
        </is>
      </c>
      <c r="C28" s="25" t="n">
        <v>0</v>
      </c>
      <c r="D28" s="25" t="n">
        <v>0</v>
      </c>
      <c r="E28" s="25" t="n">
        <v>0</v>
      </c>
      <c r="F28" s="25" t="n">
        <v>0</v>
      </c>
      <c r="G28" s="25" t="n">
        <v>0</v>
      </c>
      <c r="H28" s="2">
        <f>SUM(C28:G28)</f>
        <v/>
      </c>
      <c r="I28" s="2">
        <f>IF(H28&gt;=201,"Level 4 - 100% (awards / honors)",IF(H28&gt;=151,"Level 3 - 75%",IF(H28&gt;=101,"Level 2 - 50%",IF(H28&gt;=1,"Level 1 - 25%","-"))))</f>
        <v/>
      </c>
    </row>
    <row r="29" ht="15.6" customHeight="1" s="21">
      <c r="A29" s="2" t="inlineStr">
        <is>
          <t>HH-025</t>
        </is>
      </c>
      <c r="B29" s="2" t="inlineStr">
        <is>
          <t>ERIC JOSH SANTIAGO GARCIA</t>
        </is>
      </c>
      <c r="C29" s="25" t="n">
        <v>0</v>
      </c>
      <c r="D29" s="25" t="n">
        <v>0</v>
      </c>
      <c r="E29" s="25" t="n">
        <v>0</v>
      </c>
      <c r="F29" s="25" t="n">
        <v>0</v>
      </c>
      <c r="G29" s="25" t="n">
        <v>0</v>
      </c>
      <c r="H29" s="2">
        <f>SUM(C29:G29)</f>
        <v/>
      </c>
      <c r="I29" s="2">
        <f>IF(H29&gt;=201,"Level 4 - 100% (awards / honors)",IF(H29&gt;=151,"Level 3 - 75%",IF(H29&gt;=101,"Level 2 - 50%",IF(H29&gt;=1,"Level 1 - 25%","-"))))</f>
        <v/>
      </c>
    </row>
    <row r="30" ht="15.6" customHeight="1" s="21">
      <c r="A30" s="2" t="inlineStr">
        <is>
          <t>HH-026</t>
        </is>
      </c>
      <c r="B30" s="2" t="inlineStr">
        <is>
          <t>ANGELU T. NUMERON</t>
        </is>
      </c>
      <c r="C30" s="25" t="n">
        <v>0</v>
      </c>
      <c r="D30" s="25" t="n">
        <v>0</v>
      </c>
      <c r="E30" s="25" t="n">
        <v>0</v>
      </c>
      <c r="F30" s="25" t="n">
        <v>0</v>
      </c>
      <c r="G30" s="25" t="n">
        <v>0</v>
      </c>
      <c r="H30" s="2">
        <f>SUM(C30:G30)</f>
        <v/>
      </c>
      <c r="I30" s="2">
        <f>IF(H30&gt;=201,"Level 4 - 100% (awards / honors)",IF(H30&gt;=151,"Level 3 - 75%",IF(H30&gt;=101,"Level 2 - 50%",IF(H30&gt;=1,"Level 1 - 25%","-"))))</f>
        <v/>
      </c>
    </row>
    <row r="31" ht="15.6" customHeight="1" s="21">
      <c r="A31" s="2" t="inlineStr">
        <is>
          <t>HH-027</t>
        </is>
      </c>
      <c r="B31" s="2" t="inlineStr">
        <is>
          <t>NASH IVAN RAFALLO PANTOJA</t>
        </is>
      </c>
      <c r="C31" s="25" t="n">
        <v>0</v>
      </c>
      <c r="D31" s="25" t="n">
        <v>0</v>
      </c>
      <c r="E31" s="25" t="n">
        <v>0</v>
      </c>
      <c r="F31" s="25" t="n">
        <v>0</v>
      </c>
      <c r="G31" s="25" t="n">
        <v>0</v>
      </c>
      <c r="H31" s="2">
        <f>SUM(C31:G31)</f>
        <v/>
      </c>
      <c r="I31" s="2">
        <f>IF(H31&gt;=201,"Level 4 - 100% (awards / honors)",IF(H31&gt;=151,"Level 3 - 75%",IF(H31&gt;=101,"Level 2 - 50%",IF(H31&gt;=1,"Level 1 - 25%","-"))))</f>
        <v/>
      </c>
    </row>
    <row r="32" ht="15.6" customHeight="1" s="21">
      <c r="A32" s="2" t="inlineStr">
        <is>
          <t>HH-028</t>
        </is>
      </c>
      <c r="B32" s="2" t="inlineStr">
        <is>
          <t>ALLYN BAUTISTA RONDINA</t>
        </is>
      </c>
      <c r="C32" s="25" t="n">
        <v>0</v>
      </c>
      <c r="D32" s="25" t="n">
        <v>0</v>
      </c>
      <c r="E32" s="25" t="n">
        <v>0</v>
      </c>
      <c r="F32" s="25" t="n">
        <v>0</v>
      </c>
      <c r="G32" s="25" t="n">
        <v>0</v>
      </c>
      <c r="H32" s="2">
        <f>SUM(C32:G32)</f>
        <v/>
      </c>
      <c r="I32" s="2">
        <f>IF(H32&gt;=201,"Level 4 - 100% (awards / honors)",IF(H32&gt;=151,"Level 3 - 75%",IF(H32&gt;=101,"Level 2 - 50%",IF(H32&gt;=1,"Level 1 - 25%","-"))))</f>
        <v/>
      </c>
    </row>
    <row r="33" ht="15.6" customHeight="1" s="21">
      <c r="A33" s="2" t="inlineStr">
        <is>
          <t>HH-029</t>
        </is>
      </c>
      <c r="B33" s="2" t="inlineStr">
        <is>
          <t>HANNA KIMBERLIE VALERA FERNANDEZ</t>
        </is>
      </c>
      <c r="C33" s="25" t="n">
        <v>0</v>
      </c>
      <c r="D33" s="25" t="n">
        <v>0</v>
      </c>
      <c r="E33" s="25" t="n">
        <v>0</v>
      </c>
      <c r="F33" s="25" t="n">
        <v>0</v>
      </c>
      <c r="G33" s="25" t="n">
        <v>0</v>
      </c>
      <c r="H33" s="2">
        <f>SUM(C33:G33)</f>
        <v/>
      </c>
      <c r="I33" s="2">
        <f>IF(H33&gt;=201,"Level 4 - 100% (awards / honors)",IF(H33&gt;=151,"Level 3 - 75%",IF(H33&gt;=101,"Level 2 - 50%",IF(H33&gt;=1,"Level 1 - 25%","-"))))</f>
        <v/>
      </c>
    </row>
    <row r="34" ht="15.6" customHeight="1" s="21">
      <c r="A34" s="2" t="inlineStr">
        <is>
          <t>HH-030</t>
        </is>
      </c>
      <c r="B34" s="2" t="inlineStr">
        <is>
          <t>ANYA NATALIE HERNANDEZ DETRUZ</t>
        </is>
      </c>
      <c r="C34" s="25" t="n">
        <v>0</v>
      </c>
      <c r="D34" s="25" t="n">
        <v>0</v>
      </c>
      <c r="E34" s="25" t="n">
        <v>0</v>
      </c>
      <c r="F34" s="25" t="n">
        <v>0</v>
      </c>
      <c r="G34" s="25" t="n">
        <v>0</v>
      </c>
      <c r="H34" s="2">
        <f>SUM(C34:G34)</f>
        <v/>
      </c>
      <c r="I34" s="2">
        <f>IF(H34&gt;=201,"Level 4 - 100% (awards / honors)",IF(H34&gt;=151,"Level 3 - 75%",IF(H34&gt;=101,"Level 2 - 50%",IF(H34&gt;=1,"Level 1 - 25%","-"))))</f>
        <v/>
      </c>
    </row>
    <row r="35" ht="15.6" customHeight="1" s="21">
      <c r="A35" s="2" t="inlineStr">
        <is>
          <t>HH-031</t>
        </is>
      </c>
      <c r="B35" s="2" t="inlineStr">
        <is>
          <t>RHAINE JANNELLE SUA NACIONALES</t>
        </is>
      </c>
      <c r="C35" s="25" t="n">
        <v>0</v>
      </c>
      <c r="D35" s="25" t="n">
        <v>0</v>
      </c>
      <c r="E35" s="25" t="n">
        <v>0</v>
      </c>
      <c r="F35" s="25" t="n">
        <v>0</v>
      </c>
      <c r="G35" s="25" t="n">
        <v>0</v>
      </c>
      <c r="H35" s="2">
        <f>SUM(C35:G35)</f>
        <v/>
      </c>
      <c r="I35" s="2">
        <f>IF(H35&gt;=201,"Level 4 - 100% (awards / honors)",IF(H35&gt;=151,"Level 3 - 75%",IF(H35&gt;=101,"Level 2 - 50%",IF(H35&gt;=1,"Level 1 - 25%","-"))))</f>
        <v/>
      </c>
    </row>
    <row r="36" ht="15.6" customHeight="1" s="21">
      <c r="A36" s="2" t="inlineStr">
        <is>
          <t>HH-032</t>
        </is>
      </c>
      <c r="B36" s="2" t="inlineStr">
        <is>
          <t>ANDREA NICOLE PAR MERCADO</t>
        </is>
      </c>
      <c r="C36" s="25" t="n">
        <v>0</v>
      </c>
      <c r="D36" s="25" t="n">
        <v>0</v>
      </c>
      <c r="E36" s="25" t="n">
        <v>0</v>
      </c>
      <c r="F36" s="25" t="n">
        <v>0</v>
      </c>
      <c r="G36" s="25" t="n">
        <v>0</v>
      </c>
      <c r="H36" s="2">
        <f>SUM(C36:G36)</f>
        <v/>
      </c>
      <c r="I36" s="2">
        <f>IF(H36&gt;=201,"Level 4 - 100% (awards / honors)",IF(H36&gt;=151,"Level 3 - 75%",IF(H36&gt;=101,"Level 2 - 50%",IF(H36&gt;=1,"Level 1 - 25%","-"))))</f>
        <v/>
      </c>
    </row>
    <row r="37" ht="15.6" customHeight="1" s="21">
      <c r="A37" s="2" t="inlineStr">
        <is>
          <t>HH-033</t>
        </is>
      </c>
      <c r="B37" s="2" t="inlineStr">
        <is>
          <t>GRACE ANUYO UMALI</t>
        </is>
      </c>
      <c r="C37" s="25" t="n">
        <v>0</v>
      </c>
      <c r="D37" s="25" t="n">
        <v>0</v>
      </c>
      <c r="E37" s="25" t="n">
        <v>0</v>
      </c>
      <c r="F37" s="25" t="n">
        <v>0</v>
      </c>
      <c r="G37" s="25" t="n">
        <v>0</v>
      </c>
      <c r="H37" s="2">
        <f>SUM(C37:G37)</f>
        <v/>
      </c>
      <c r="I37" s="2">
        <f>IF(H37&gt;=201,"Level 4 - 100% (awards / honors)",IF(H37&gt;=151,"Level 3 - 75%",IF(H37&gt;=101,"Level 2 - 50%",IF(H37&gt;=1,"Level 1 - 25%","-"))))</f>
        <v/>
      </c>
    </row>
    <row r="38" ht="15.6" customHeight="1" s="21">
      <c r="A38" s="2" t="inlineStr">
        <is>
          <t>HH-034</t>
        </is>
      </c>
      <c r="B38" s="2" t="inlineStr">
        <is>
          <t>EUSSEY AOE SAN JUAN DEINLA</t>
        </is>
      </c>
      <c r="C38" s="25" t="n">
        <v>0</v>
      </c>
      <c r="D38" s="25" t="n">
        <v>0</v>
      </c>
      <c r="E38" s="25" t="n">
        <v>0</v>
      </c>
      <c r="F38" s="25" t="n">
        <v>0</v>
      </c>
      <c r="G38" s="25" t="n">
        <v>0</v>
      </c>
      <c r="H38" s="2">
        <f>SUM(C38:G38)</f>
        <v/>
      </c>
      <c r="I38" s="2">
        <f>IF(H38&gt;=201,"Level 4 - 100% (awards / honors)",IF(H38&gt;=151,"Level 3 - 75%",IF(H38&gt;=101,"Level 2 - 50%",IF(H38&gt;=1,"Level 1 - 25%","-"))))</f>
        <v/>
      </c>
    </row>
    <row r="39" ht="15.6" customHeight="1" s="21">
      <c r="A39" s="2" t="inlineStr">
        <is>
          <t>HH-035</t>
        </is>
      </c>
      <c r="B39" s="2" t="inlineStr">
        <is>
          <t>ARVEL NICOLE TERCERO UMALI</t>
        </is>
      </c>
      <c r="C39" s="25" t="n">
        <v>0</v>
      </c>
      <c r="D39" s="25" t="n">
        <v>0</v>
      </c>
      <c r="E39" s="25" t="n">
        <v>0</v>
      </c>
      <c r="F39" s="25" t="n">
        <v>0</v>
      </c>
      <c r="G39" s="25" t="n">
        <v>0</v>
      </c>
      <c r="H39" s="2">
        <f>SUM(C39:G39)</f>
        <v/>
      </c>
      <c r="I39" s="2">
        <f>IF(H39&gt;=201,"Level 4 - 100% (awards / honors)",IF(H39&gt;=151,"Level 3 - 75%",IF(H39&gt;=101,"Level 2 - 50%",IF(H39&gt;=1,"Level 1 - 25%","-"))))</f>
        <v/>
      </c>
    </row>
    <row r="40" ht="15.6" customHeight="1" s="21">
      <c r="A40" s="2" t="inlineStr">
        <is>
          <t>HH-036</t>
        </is>
      </c>
      <c r="B40" s="2" t="inlineStr">
        <is>
          <t>FRANCHESCA LUBANG SISCON</t>
        </is>
      </c>
      <c r="C40" s="25" t="n">
        <v>0</v>
      </c>
      <c r="D40" s="25" t="n">
        <v>0</v>
      </c>
      <c r="E40" s="25" t="n">
        <v>0</v>
      </c>
      <c r="F40" s="25" t="n">
        <v>0</v>
      </c>
      <c r="G40" s="25" t="n">
        <v>0</v>
      </c>
      <c r="H40" s="2">
        <f>SUM(C40:G40)</f>
        <v/>
      </c>
      <c r="I40" s="2">
        <f>IF(H40&gt;=201,"Level 4 - 100% (awards / honors)",IF(H40&gt;=151,"Level 3 - 75%",IF(H40&gt;=101,"Level 2 - 50%",IF(H40&gt;=1,"Level 1 - 25%","-"))))</f>
        <v/>
      </c>
    </row>
  </sheetData>
  <mergeCells count="2">
    <mergeCell ref="A1:I1"/>
    <mergeCell ref="A2:I2"/>
  </mergeCells>
  <dataValidations count="1">
    <dataValidation sqref="C5:G40" showDropDown="0" showInputMessage="0" showErrorMessage="1" allowBlank="1" errorTitle="Points" error="Enter a number of points (0 or more)." type="decimal" operator="greaterThanOrEqual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2026-10-14T02:52:43Z</dcterms:created>
  <dcterms:modified xmlns:dcterms="http://purl.org/dc/terms/" xmlns:xsi="http://www.w3.org/2001/XMLSchema-instance" xsi:type="dcterms:W3CDTF">2026-10-14T02:52:43Z</dcterms:modified>
  <cp:lastModifiedBy>llacademy.events@gmail.com</cp:lastModifiedBy>
</cp:coreProperties>
</file>